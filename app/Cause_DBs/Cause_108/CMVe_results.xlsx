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106" documentId="11_AD4DA82427541F7ACA7EB87BB80A0C146AE8DE12" xr6:coauthVersionLast="47" xr6:coauthVersionMax="47" xr10:uidLastSave="{D107199F-9F28-46C0-B0CE-1865636EAE6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G6" i="1"/>
  <c r="F6" i="1"/>
  <c r="E6" i="1" l="1"/>
  <c r="D6" i="1"/>
  <c r="C6" i="1"/>
  <c r="B6" i="1"/>
</calcChain>
</file>

<file path=xl/sharedStrings.xml><?xml version="1.0" encoding="utf-8"?>
<sst xmlns="http://schemas.openxmlformats.org/spreadsheetml/2006/main" count="22" uniqueCount="14">
  <si>
    <t>CMVe_DPLSe_KCI</t>
  </si>
  <si>
    <t>AB</t>
  </si>
  <si>
    <t>BA</t>
  </si>
  <si>
    <t>originCMVe_DPLSR</t>
  </si>
  <si>
    <t>CE_108</t>
  </si>
  <si>
    <t>CE</t>
  </si>
  <si>
    <t>13/24</t>
  </si>
  <si>
    <t>14/24</t>
  </si>
  <si>
    <t>24/47</t>
  </si>
  <si>
    <t>32/47</t>
  </si>
  <si>
    <t>61/100</t>
  </si>
  <si>
    <t>48/100</t>
  </si>
  <si>
    <t>43/100</t>
  </si>
  <si>
    <t>54/100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</si>
</sst>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tabSelected="1" workbookViewId="0">
      <selection activeCell="L16" sqref="L16"/>
    </sheetView>
  </sheetViews>
  <sheetFormatPr defaultRowHeight="15" x14ac:dyDescent="0.25"/>
  <cols>
    <col min="2" max="12" width="12.140625" customWidth="1"/>
  </cols>
  <sheetData>
    <row r="2" spans="2:9" x14ac:dyDescent="0.25">
      <c r="B2" s="2" t="s">
        <v>4</v>
      </c>
      <c r="C2" s="2"/>
      <c r="D2" s="2"/>
      <c r="E2" s="2"/>
      <c r="F2" s="2" t="s">
        <v>5</v>
      </c>
      <c r="G2" s="2"/>
      <c r="H2" s="2"/>
      <c r="I2" s="2"/>
    </row>
    <row r="3" spans="2:9" x14ac:dyDescent="0.25">
      <c r="B3" s="1" t="s">
        <v>0</v>
      </c>
      <c r="C3" s="1"/>
      <c r="D3" s="1" t="s">
        <v>3</v>
      </c>
      <c r="E3" s="1"/>
      <c r="F3" s="1" t="s">
        <v>0</v>
      </c>
      <c r="G3" s="1"/>
      <c r="H3" s="1" t="s">
        <v>3</v>
      </c>
      <c r="I3" s="1"/>
    </row>
    <row r="4" spans="2:9" x14ac:dyDescent="0.25">
      <c r="B4" s="3" t="s">
        <v>1</v>
      </c>
      <c r="C4" s="4" t="s">
        <v>2</v>
      </c>
      <c r="D4" s="3" t="s">
        <v>1</v>
      </c>
      <c r="E4" s="4" t="s">
        <v>2</v>
      </c>
      <c r="F4" s="3" t="s">
        <v>1</v>
      </c>
      <c r="G4" s="4" t="s">
        <v>2</v>
      </c>
      <c r="H4" s="3" t="s">
        <v>1</v>
      </c>
      <c r="I4" s="4" t="s">
        <v>2</v>
      </c>
    </row>
    <row r="5" spans="2:9" x14ac:dyDescent="0.25">
      <c r="B5" t="s">
        <v>8</v>
      </c>
      <c r="C5" t="s">
        <v>6</v>
      </c>
      <c r="D5" t="s">
        <v>9</v>
      </c>
      <c r="E5" t="s">
        <v>7</v>
      </c>
      <c r="F5" t="s">
        <v>11</v>
      </c>
      <c r="G5" t="s">
        <v>10</v>
      </c>
      <c r="H5" t="s">
        <v>13</v>
      </c>
      <c r="I5" t="s">
        <v>12</v>
      </c>
    </row>
    <row r="6" spans="2:9" x14ac:dyDescent="0.25">
      <c r="B6">
        <f>24/47</f>
        <v>0.51063829787234039</v>
      </c>
      <c r="C6">
        <f>13/24</f>
        <v>0.54166666666666663</v>
      </c>
      <c r="D6">
        <f>32/47</f>
        <v>0.68085106382978722</v>
      </c>
      <c r="E6">
        <f>14/24</f>
        <v>0.58333333333333337</v>
      </c>
      <c r="F6">
        <f>48/100</f>
        <v>0.48</v>
      </c>
      <c r="G6">
        <f>61/100</f>
        <v>0.61</v>
      </c>
      <c r="H6">
        <f>54/100</f>
        <v>0.54</v>
      </c>
      <c r="I6">
        <f>43/100</f>
        <v>0.43</v>
      </c>
    </row>
  </sheetData>
  <mergeCells count="6">
    <mergeCell ref="B3:C3"/>
    <mergeCell ref="D3:E3"/>
    <mergeCell ref="B2:E2"/>
    <mergeCell ref="F2:I2"/>
    <mergeCell ref="F3:G3"/>
    <mergeCell ref="H3:I3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思危蒋</dc:creator>
  <cp:lastModifiedBy>蒋 思危</cp:lastModifiedBy>
  <dcterms:created xsi:type="dcterms:W3CDTF">2015-06-05T18:19:34Z</dcterms:created>
  <dcterms:modified xsi:type="dcterms:W3CDTF">2025-06-18T11:54:35Z</dcterms:modified>
</cp:coreProperties>
</file>