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simulation/analyse/"/>
    </mc:Choice>
  </mc:AlternateContent>
  <xr:revisionPtr revIDLastSave="10" documentId="8_{7F0E710C-FF4C-4F5A-909B-4C6473C35167}" xr6:coauthVersionLast="47" xr6:coauthVersionMax="47" xr10:uidLastSave="{6E1E19E0-1702-4DB2-B697-1F93F856EB02}"/>
  <bookViews>
    <workbookView xWindow="-90" yWindow="0" windowWidth="20950" windowHeight="209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I24" i="1"/>
  <c r="I25" i="1"/>
  <c r="I26" i="1"/>
  <c r="I27" i="1"/>
  <c r="I28" i="1"/>
  <c r="I29" i="1"/>
  <c r="I30" i="1"/>
  <c r="J30" i="1" s="1"/>
  <c r="I31" i="1"/>
  <c r="I32" i="1"/>
  <c r="J32" i="1" s="1"/>
  <c r="I33" i="1"/>
  <c r="J33" i="1" s="1"/>
  <c r="I34" i="1"/>
  <c r="J34" i="1" s="1"/>
  <c r="I35" i="1"/>
  <c r="J35" i="1" s="1"/>
  <c r="I36" i="1"/>
  <c r="I37" i="1"/>
  <c r="I38" i="1"/>
  <c r="I39" i="1"/>
  <c r="I40" i="1"/>
  <c r="I41" i="1"/>
  <c r="I42" i="1"/>
  <c r="I43" i="1"/>
  <c r="I44" i="1"/>
  <c r="I45" i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I56" i="1"/>
  <c r="I57" i="1"/>
  <c r="I58" i="1"/>
  <c r="I59" i="1"/>
  <c r="I60" i="1"/>
  <c r="I61" i="1"/>
  <c r="I62" i="1"/>
  <c r="I63" i="1"/>
  <c r="J63" i="1" s="1"/>
  <c r="I64" i="1"/>
  <c r="J64" i="1" s="1"/>
  <c r="I65" i="1"/>
  <c r="J65" i="1" s="1"/>
  <c r="I66" i="1"/>
  <c r="J66" i="1" s="1"/>
  <c r="I67" i="1"/>
  <c r="J67" i="1" s="1"/>
  <c r="I68" i="1"/>
  <c r="I69" i="1"/>
  <c r="I70" i="1"/>
  <c r="I71" i="1"/>
  <c r="I72" i="1"/>
  <c r="I73" i="1"/>
  <c r="I74" i="1"/>
  <c r="I75" i="1"/>
  <c r="I76" i="1"/>
  <c r="I77" i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I88" i="1"/>
  <c r="I89" i="1"/>
  <c r="I90" i="1"/>
  <c r="I91" i="1"/>
  <c r="I92" i="1"/>
  <c r="I93" i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I101" i="1"/>
  <c r="I102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1" i="1" s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3" i="1"/>
  <c r="J102" i="1"/>
  <c r="J101" i="1"/>
  <c r="J100" i="1"/>
  <c r="J93" i="1"/>
  <c r="J92" i="1"/>
  <c r="J91" i="1"/>
  <c r="J90" i="1"/>
  <c r="J89" i="1"/>
  <c r="J88" i="1"/>
  <c r="J87" i="1"/>
  <c r="J77" i="1"/>
  <c r="J76" i="1"/>
  <c r="J75" i="1"/>
  <c r="J74" i="1"/>
  <c r="J73" i="1"/>
  <c r="J72" i="1"/>
  <c r="J71" i="1"/>
  <c r="J70" i="1"/>
  <c r="J69" i="1"/>
  <c r="J68" i="1"/>
  <c r="J62" i="1"/>
  <c r="J61" i="1"/>
  <c r="J60" i="1"/>
  <c r="J59" i="1"/>
  <c r="J58" i="1"/>
  <c r="J57" i="1"/>
  <c r="J56" i="1"/>
  <c r="J55" i="1"/>
  <c r="J45" i="1"/>
  <c r="J44" i="1"/>
  <c r="J43" i="1"/>
  <c r="J42" i="1"/>
  <c r="J41" i="1"/>
  <c r="J40" i="1"/>
  <c r="J39" i="1"/>
  <c r="J38" i="1"/>
  <c r="J37" i="1"/>
  <c r="J36" i="1"/>
  <c r="J31" i="1"/>
  <c r="J29" i="1"/>
  <c r="J28" i="1"/>
  <c r="J27" i="1"/>
  <c r="J26" i="1"/>
  <c r="J25" i="1"/>
  <c r="J24" i="1"/>
  <c r="J23" i="1"/>
  <c r="J12" i="1"/>
  <c r="J11" i="1"/>
  <c r="J10" i="1"/>
  <c r="J9" i="1"/>
  <c r="J8" i="1"/>
  <c r="J6" i="1"/>
  <c r="J5" i="1"/>
  <c r="J4" i="1"/>
  <c r="J3" i="1"/>
  <c r="I1" i="1" l="1"/>
  <c r="J7" i="1"/>
  <c r="J1" i="1" s="1"/>
</calcChain>
</file>

<file path=xl/sharedStrings.xml><?xml version="1.0" encoding="utf-8"?>
<sst xmlns="http://schemas.openxmlformats.org/spreadsheetml/2006/main" count="108" uniqueCount="108">
  <si>
    <t>Path(['add_noise']B)</t>
  </si>
  <si>
    <t>Path(['add_noise']A)</t>
  </si>
  <si>
    <t>y=(1.29×x_1+-0.48)_201</t>
  </si>
  <si>
    <t>y=(-0.18×x_1+-1.61)_293</t>
  </si>
  <si>
    <t>y=(0.01×x_1+-0.54)_254</t>
  </si>
  <si>
    <t>y=(0.33×x_1+0.17)_298</t>
  </si>
  <si>
    <t>y=(2.92×x_1+-2.82)_261</t>
  </si>
  <si>
    <t>y=(-0.03×x_1+1.39)_236</t>
  </si>
  <si>
    <t>y=(-1.16×x_1+-2.30)_281</t>
  </si>
  <si>
    <t>y=(0.25×x_1+1.05)_266</t>
  </si>
  <si>
    <t>y=(0.42×x_1+-0.77)_275</t>
  </si>
  <si>
    <t>y=(-1.93×x_1+1.15)_225</t>
  </si>
  <si>
    <t>y=(1.82×x_1+-2.46)_259</t>
  </si>
  <si>
    <t>y=(-0.88×x_1+1.21)_241</t>
  </si>
  <si>
    <t>y=(2.77×x_1+1.94)_231</t>
  </si>
  <si>
    <t>y=(0.66×x_1+-2.75)_212</t>
  </si>
  <si>
    <t>y=(2.43×x_1+2.82)_237</t>
  </si>
  <si>
    <t>y=(-2.53×x_1+2.85)_206</t>
  </si>
  <si>
    <t>y=(-0.51×x_1+0.84)_214</t>
  </si>
  <si>
    <t>y=(-1.59×x_1+-1.49)_217</t>
  </si>
  <si>
    <t>y=(-2.75×x_1+-0.48)_268</t>
  </si>
  <si>
    <t>y=(-0.25×x_1+-0.49)_274</t>
  </si>
  <si>
    <t>y=(-2.96×x_1+2.65)_210</t>
  </si>
  <si>
    <t>y=(-0.85×x_1+-2.52)_270</t>
  </si>
  <si>
    <t>y=(1.40×x_1+2.86)_291</t>
  </si>
  <si>
    <t>y=(-2.75×x_1+-0.05)_203</t>
  </si>
  <si>
    <t>y=(-2.80×x_1+2.57)_294</t>
  </si>
  <si>
    <t>y=(1.45×x_1+-2.85)_207</t>
  </si>
  <si>
    <t>y=(-1.98×x_1+0.45)_209</t>
  </si>
  <si>
    <t>y=(-1.85×x_1+1.26)_239</t>
  </si>
  <si>
    <t>y=(0.16×x_1+-1.03)_219</t>
  </si>
  <si>
    <t>y=(-0.97×x_1+1.98)_263</t>
  </si>
  <si>
    <t>y=(-2.18×x_1+0.17)_283</t>
  </si>
  <si>
    <t>y=(1.53×x_1+-0.55)_262</t>
  </si>
  <si>
    <t>y=(1.44×x_1+-2.87)_211</t>
  </si>
  <si>
    <t>y=(0.96×x_1+1.40)_251</t>
  </si>
  <si>
    <t>y=(-1.59×x_1+-1.16)_222</t>
  </si>
  <si>
    <t>y=(0.15×x_1+-1.82)_208</t>
  </si>
  <si>
    <t>y=(1.35×x_1+1.62)_235</t>
  </si>
  <si>
    <t>y=(-0.11×x_1+-2.41)_205</t>
  </si>
  <si>
    <t>y=(-2.07×x_1+0.19)_258</t>
  </si>
  <si>
    <t>y=(-0.01×x_1+-2.75)_278</t>
  </si>
  <si>
    <t>y=(-0.70×x_1+0.47)_244</t>
  </si>
  <si>
    <t>y=(-0.45×x_1+-0.30)_243</t>
  </si>
  <si>
    <t>y=(-0.56×x_1+-2.12)_253</t>
  </si>
  <si>
    <t>y=(-0.87×x_1+2.55)_279</t>
  </si>
  <si>
    <t>y=(-1.88×x_1+1.58)_218</t>
  </si>
  <si>
    <t>y=(-1.05×x_1+0.82)_255</t>
  </si>
  <si>
    <t>y=(-2.81×x_1+0.85)_226</t>
  </si>
  <si>
    <t>y=(2.46×x_1+2.74)_227</t>
  </si>
  <si>
    <t>y=(2.16×x_1+2.55)_204</t>
  </si>
  <si>
    <t>y=(-2.57×x_1+-0.56)_260</t>
  </si>
  <si>
    <t>DPLS_R2(['add_noise']B, A)</t>
  </si>
  <si>
    <t>P(['add_noise']B, A)</t>
  </si>
  <si>
    <t>PersonR2(['add_noise']B, A)</t>
  </si>
  <si>
    <t>y=sqrt(2(x_1)^2)_234</t>
  </si>
  <si>
    <t>y=2(cos(πx_1))^2_218</t>
  </si>
  <si>
    <t>y=sin(πsin(πx_1))_286</t>
  </si>
  <si>
    <t>y=sin(πx_1)_200</t>
  </si>
  <si>
    <t>y=sqrt(x_1)_284</t>
  </si>
  <si>
    <t>y=2(2(x_1)^2)^2_264</t>
  </si>
  <si>
    <t>y=cos(πcos(πx_1))_253</t>
  </si>
  <si>
    <t>y=sin(πsqrt(x_1))_285</t>
  </si>
  <si>
    <t>y=sin(πx_1)_209</t>
  </si>
  <si>
    <t>y=cos(πx_1)_221</t>
  </si>
  <si>
    <t>y=sqrt(sqrt(x_1))_247</t>
  </si>
  <si>
    <t>y=2(x_1)^2_283</t>
  </si>
  <si>
    <t>y=sqrt(x_1)_282</t>
  </si>
  <si>
    <t>y=sin(πx_1)_246</t>
  </si>
  <si>
    <t>y=sqrt(x_1)_228</t>
  </si>
  <si>
    <t>y=cos(πx_1)_274</t>
  </si>
  <si>
    <t>y=2(sqrt(x_1))^2_254</t>
  </si>
  <si>
    <t>y=cos(πsqrt(x_1))_290</t>
  </si>
  <si>
    <t>y=sin(π(x_1×x_1))_238</t>
  </si>
  <si>
    <t>y=2(cos(πx_1))^2_243</t>
  </si>
  <si>
    <t>y=sin(πsin(πx_1))_261</t>
  </si>
  <si>
    <t>y=2(x_1)^2_270</t>
  </si>
  <si>
    <t>y=sqrt(cos(πx_1))_251</t>
  </si>
  <si>
    <t>y=sin(π(x_1×x_1))_219</t>
  </si>
  <si>
    <t>y=sin(π2(x_1)^2)_280</t>
  </si>
  <si>
    <t>y=sqrt(cos(πx_1))_279</t>
  </si>
  <si>
    <t>y=cos(πx_1)_224</t>
  </si>
  <si>
    <t>y=cos(πx_1)_206</t>
  </si>
  <si>
    <t>y=sin(πsqrt(x_1))_250</t>
  </si>
  <si>
    <t>y=cos(π((x_1×x_1)×x_1))_271</t>
  </si>
  <si>
    <t>y=cos(πx_1)_240</t>
  </si>
  <si>
    <t>y=sqrt(sin(πx_1))_295</t>
  </si>
  <si>
    <t>y=sqrt(cos(πx_1))_272</t>
  </si>
  <si>
    <t>y=sin(πx_1)_296</t>
  </si>
  <si>
    <t>y=cos(πsqrt(x_1))_248</t>
  </si>
  <si>
    <t>y=sin(πsqrt(x_1))_223</t>
  </si>
  <si>
    <t>y=sqrt(cos(πx_1))_210</t>
  </si>
  <si>
    <t>y=2(2(x_1)^2)^2_276</t>
  </si>
  <si>
    <t>y=cos(πx_1)_225</t>
  </si>
  <si>
    <t>y=2(2(x_1)^2)^2_227</t>
  </si>
  <si>
    <t>y=2(x_1)^2_245</t>
  </si>
  <si>
    <t>y=2(sqrt(sqrt(x_1)))^2_211</t>
  </si>
  <si>
    <t>y=2(x_1)^2_215</t>
  </si>
  <si>
    <t>y=2(x_1)^2_275</t>
  </si>
  <si>
    <t>y=cos(πx_1)_213</t>
  </si>
  <si>
    <t>y=cos(π(x_1×x_1×x_1×x_1))_237</t>
  </si>
  <si>
    <t>y=sin(πcos(π2(2(x_1)^2)^2))_268</t>
  </si>
  <si>
    <t>y=sqrt(x_1)_233</t>
  </si>
  <si>
    <t>y=sqrt(sqrt(x_1))_299</t>
  </si>
  <si>
    <t>y=cos(πx_1)_287</t>
  </si>
  <si>
    <t>IF(D-F&lt;0.1, 1,0)</t>
  </si>
  <si>
    <t>IF(OR(AND(I=0,B&gt;C),AND(I=1,B&lt;C)),1,0)</t>
  </si>
  <si>
    <t>PathB&gt;PathA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</si>
</sst>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2"/>
  <sheetViews>
    <sheetView tabSelected="1" topLeftCell="B1" workbookViewId="0">
      <selection activeCell="I3" sqref="I3"/>
    </sheetView>
  </sheetViews>
  <sheetFormatPr defaultRowHeight="14.5" x14ac:dyDescent="0.35"/>
  <cols>
    <col min="1" max="1" width="28.54296875" bestFit="1" customWidth="1"/>
    <col min="2" max="2" width="18.08984375" bestFit="1" customWidth="1"/>
    <col min="3" max="3" width="18.1796875" bestFit="1" customWidth="1"/>
    <col min="4" max="4" width="23.6328125" bestFit="1" customWidth="1"/>
    <col min="5" max="5" width="17.453125" bestFit="1" customWidth="1"/>
    <col min="6" max="6" width="24.36328125" bestFit="1" customWidth="1"/>
    <col min="8" max="8" width="12.08984375" customWidth="1"/>
    <col min="9" max="9" width="19.08984375" customWidth="1"/>
    <col min="10" max="10" width="36.26953125" customWidth="1"/>
  </cols>
  <sheetData>
    <row r="1" spans="1:10" x14ac:dyDescent="0.35">
      <c r="H1">
        <f>SUM(H3:H102)</f>
        <v>55</v>
      </c>
      <c r="I1">
        <f>SUM(I3:I102)</f>
        <v>50</v>
      </c>
      <c r="J1">
        <f>SUM(J3:J102)</f>
        <v>73</v>
      </c>
    </row>
    <row r="2" spans="1:10" x14ac:dyDescent="0.35">
      <c r="B2" s="1" t="s">
        <v>0</v>
      </c>
      <c r="C2" s="1" t="s">
        <v>1</v>
      </c>
      <c r="D2" s="1" t="s">
        <v>52</v>
      </c>
      <c r="E2" s="1" t="s">
        <v>53</v>
      </c>
      <c r="F2" s="1" t="s">
        <v>54</v>
      </c>
      <c r="H2" s="2" t="s">
        <v>107</v>
      </c>
      <c r="I2" s="2" t="s">
        <v>105</v>
      </c>
      <c r="J2" s="2" t="s">
        <v>106</v>
      </c>
    </row>
    <row r="3" spans="1:10" x14ac:dyDescent="0.35">
      <c r="A3" s="1" t="s">
        <v>2</v>
      </c>
      <c r="B3">
        <v>131.65848059000001</v>
      </c>
      <c r="C3">
        <v>207.45332986292561</v>
      </c>
      <c r="D3">
        <v>0.80077040835789948</v>
      </c>
      <c r="E3">
        <v>3</v>
      </c>
      <c r="F3">
        <v>0.81486368631034367</v>
      </c>
      <c r="H3">
        <f>IF(B3&gt;C3,1,0)</f>
        <v>0</v>
      </c>
      <c r="I3">
        <f>IF(ABS(D3-F3)&lt;0.1, 1,0)</f>
        <v>1</v>
      </c>
      <c r="J3">
        <f>IF(OR(AND(I3=0,B3&gt;C3),AND(I3=1,B3&lt;C3)),1,0)</f>
        <v>1</v>
      </c>
    </row>
    <row r="4" spans="1:10" x14ac:dyDescent="0.35">
      <c r="A4" s="1" t="s">
        <v>3</v>
      </c>
      <c r="B4">
        <v>129.36629060000001</v>
      </c>
      <c r="C4">
        <v>29.257105469772611</v>
      </c>
      <c r="D4">
        <v>0.81800769950573704</v>
      </c>
      <c r="E4">
        <v>21</v>
      </c>
      <c r="F4">
        <v>0.81574113765396228</v>
      </c>
      <c r="H4">
        <f t="shared" ref="H4:H67" si="0">IF(B4&gt;C4,1,0)</f>
        <v>1</v>
      </c>
      <c r="I4">
        <f t="shared" ref="I4:I67" si="1">IF(ABS(D4-F4)&lt;0.1, 1,0)</f>
        <v>1</v>
      </c>
      <c r="J4">
        <f t="shared" ref="J4:J67" si="2">IF(OR(AND(I4=0,B4&gt;C4),AND(I4=1,B4&lt;C4)),1,0)</f>
        <v>0</v>
      </c>
    </row>
    <row r="5" spans="1:10" x14ac:dyDescent="0.35">
      <c r="A5" s="1" t="s">
        <v>4</v>
      </c>
      <c r="B5">
        <v>141.27905899999999</v>
      </c>
      <c r="C5">
        <v>1.5196831207108881</v>
      </c>
      <c r="D5">
        <v>0.80862456727946952</v>
      </c>
      <c r="E5">
        <v>26</v>
      </c>
      <c r="F5">
        <v>0.80439023084022532</v>
      </c>
      <c r="H5">
        <f t="shared" si="0"/>
        <v>1</v>
      </c>
      <c r="I5">
        <f t="shared" si="1"/>
        <v>1</v>
      </c>
      <c r="J5">
        <f t="shared" si="2"/>
        <v>0</v>
      </c>
    </row>
    <row r="6" spans="1:10" x14ac:dyDescent="0.35">
      <c r="A6" s="1" t="s">
        <v>5</v>
      </c>
      <c r="B6">
        <v>138.76289833000001</v>
      </c>
      <c r="C6">
        <v>54.190917699714618</v>
      </c>
      <c r="D6">
        <v>0.80958286607411123</v>
      </c>
      <c r="E6">
        <v>3</v>
      </c>
      <c r="F6">
        <v>0.798481912790722</v>
      </c>
      <c r="H6">
        <f t="shared" si="0"/>
        <v>1</v>
      </c>
      <c r="I6">
        <f t="shared" si="1"/>
        <v>1</v>
      </c>
      <c r="J6">
        <f t="shared" si="2"/>
        <v>0</v>
      </c>
    </row>
    <row r="7" spans="1:10" x14ac:dyDescent="0.35">
      <c r="A7" s="1" t="s">
        <v>6</v>
      </c>
      <c r="B7">
        <v>142.23223646</v>
      </c>
      <c r="C7">
        <v>466.58547258033462</v>
      </c>
      <c r="D7">
        <v>0.80557641612503283</v>
      </c>
      <c r="E7">
        <v>5</v>
      </c>
      <c r="F7">
        <v>0.80097471786990826</v>
      </c>
      <c r="H7">
        <f t="shared" si="0"/>
        <v>0</v>
      </c>
      <c r="I7">
        <f t="shared" si="1"/>
        <v>1</v>
      </c>
      <c r="J7">
        <f t="shared" si="2"/>
        <v>1</v>
      </c>
    </row>
    <row r="8" spans="1:10" x14ac:dyDescent="0.35">
      <c r="A8" s="1" t="s">
        <v>7</v>
      </c>
      <c r="B8">
        <v>140.21173246000001</v>
      </c>
      <c r="C8">
        <v>5.9959725612191868</v>
      </c>
      <c r="D8">
        <v>0.78711510681812458</v>
      </c>
      <c r="E8">
        <v>21</v>
      </c>
      <c r="F8">
        <v>0.79981194091364394</v>
      </c>
      <c r="H8">
        <f t="shared" si="0"/>
        <v>1</v>
      </c>
      <c r="I8">
        <f t="shared" si="1"/>
        <v>1</v>
      </c>
      <c r="J8">
        <f t="shared" si="2"/>
        <v>0</v>
      </c>
    </row>
    <row r="9" spans="1:10" x14ac:dyDescent="0.35">
      <c r="A9" s="1" t="s">
        <v>8</v>
      </c>
      <c r="B9">
        <v>147.10468093</v>
      </c>
      <c r="C9">
        <v>208.57800319035411</v>
      </c>
      <c r="D9">
        <v>0.7945536039526222</v>
      </c>
      <c r="E9">
        <v>4</v>
      </c>
      <c r="F9">
        <v>0.78517378975235541</v>
      </c>
      <c r="H9">
        <f t="shared" si="0"/>
        <v>0</v>
      </c>
      <c r="I9">
        <f t="shared" si="1"/>
        <v>1</v>
      </c>
      <c r="J9">
        <f t="shared" si="2"/>
        <v>1</v>
      </c>
    </row>
    <row r="10" spans="1:10" x14ac:dyDescent="0.35">
      <c r="A10" s="1" t="s">
        <v>9</v>
      </c>
      <c r="B10">
        <v>139.28363146999999</v>
      </c>
      <c r="C10">
        <v>41.041162485529568</v>
      </c>
      <c r="D10">
        <v>0.80811776063150442</v>
      </c>
      <c r="E10">
        <v>10</v>
      </c>
      <c r="F10">
        <v>0.79505424756088316</v>
      </c>
      <c r="H10">
        <f t="shared" si="0"/>
        <v>1</v>
      </c>
      <c r="I10">
        <f t="shared" si="1"/>
        <v>1</v>
      </c>
      <c r="J10">
        <f t="shared" si="2"/>
        <v>0</v>
      </c>
    </row>
    <row r="11" spans="1:10" x14ac:dyDescent="0.35">
      <c r="A11" s="1" t="s">
        <v>10</v>
      </c>
      <c r="B11">
        <v>136.63798707000001</v>
      </c>
      <c r="C11">
        <v>73.159901641541467</v>
      </c>
      <c r="D11">
        <v>0.79716341823395709</v>
      </c>
      <c r="E11">
        <v>3</v>
      </c>
      <c r="F11">
        <v>0.79458594757676715</v>
      </c>
      <c r="H11">
        <f t="shared" si="0"/>
        <v>1</v>
      </c>
      <c r="I11">
        <f t="shared" si="1"/>
        <v>1</v>
      </c>
      <c r="J11">
        <f t="shared" si="2"/>
        <v>0</v>
      </c>
    </row>
    <row r="12" spans="1:10" x14ac:dyDescent="0.35">
      <c r="A12" s="1" t="s">
        <v>11</v>
      </c>
      <c r="B12">
        <v>136.51316030000001</v>
      </c>
      <c r="C12">
        <v>301.41950182465348</v>
      </c>
      <c r="D12">
        <v>0.79735889884002586</v>
      </c>
      <c r="E12">
        <v>3</v>
      </c>
      <c r="F12">
        <v>0.80416029079673113</v>
      </c>
      <c r="H12">
        <f t="shared" si="0"/>
        <v>0</v>
      </c>
      <c r="I12">
        <f t="shared" si="1"/>
        <v>1</v>
      </c>
      <c r="J12">
        <f t="shared" si="2"/>
        <v>1</v>
      </c>
    </row>
    <row r="13" spans="1:10" x14ac:dyDescent="0.35">
      <c r="A13" s="1" t="s">
        <v>12</v>
      </c>
      <c r="B13">
        <v>138.28278416000001</v>
      </c>
      <c r="C13">
        <v>298.85806477473147</v>
      </c>
      <c r="D13">
        <v>0.80827638292680304</v>
      </c>
      <c r="E13">
        <v>3</v>
      </c>
      <c r="F13">
        <v>0.81453972788614726</v>
      </c>
      <c r="H13">
        <f t="shared" si="0"/>
        <v>0</v>
      </c>
      <c r="I13">
        <f t="shared" si="1"/>
        <v>1</v>
      </c>
      <c r="J13">
        <f t="shared" si="2"/>
        <v>1</v>
      </c>
    </row>
    <row r="14" spans="1:10" x14ac:dyDescent="0.35">
      <c r="A14" s="1" t="s">
        <v>13</v>
      </c>
      <c r="B14">
        <v>134.46321488000001</v>
      </c>
      <c r="C14">
        <v>139.89814898599749</v>
      </c>
      <c r="D14">
        <v>0.80839155315039601</v>
      </c>
      <c r="E14">
        <v>4</v>
      </c>
      <c r="F14">
        <v>0.81291750202582291</v>
      </c>
      <c r="H14">
        <f t="shared" si="0"/>
        <v>0</v>
      </c>
      <c r="I14">
        <f t="shared" si="1"/>
        <v>1</v>
      </c>
      <c r="J14">
        <f t="shared" si="2"/>
        <v>1</v>
      </c>
    </row>
    <row r="15" spans="1:10" x14ac:dyDescent="0.35">
      <c r="A15" s="1" t="s">
        <v>14</v>
      </c>
      <c r="B15">
        <v>130.08899854000001</v>
      </c>
      <c r="C15">
        <v>442.10749028634319</v>
      </c>
      <c r="D15">
        <v>0.80306725864743456</v>
      </c>
      <c r="E15">
        <v>3</v>
      </c>
      <c r="F15">
        <v>0.80369482935584269</v>
      </c>
      <c r="H15">
        <f t="shared" si="0"/>
        <v>0</v>
      </c>
      <c r="I15">
        <f t="shared" si="1"/>
        <v>1</v>
      </c>
      <c r="J15">
        <f t="shared" si="2"/>
        <v>1</v>
      </c>
    </row>
    <row r="16" spans="1:10" x14ac:dyDescent="0.35">
      <c r="A16" s="1" t="s">
        <v>15</v>
      </c>
      <c r="B16">
        <v>147.42945116999999</v>
      </c>
      <c r="C16">
        <v>113.12588922469681</v>
      </c>
      <c r="D16">
        <v>0.79445074374505942</v>
      </c>
      <c r="E16">
        <v>7</v>
      </c>
      <c r="F16">
        <v>0.77615074922048044</v>
      </c>
      <c r="H16">
        <f t="shared" si="0"/>
        <v>1</v>
      </c>
      <c r="I16">
        <f t="shared" si="1"/>
        <v>1</v>
      </c>
      <c r="J16">
        <f t="shared" si="2"/>
        <v>0</v>
      </c>
    </row>
    <row r="17" spans="1:10" x14ac:dyDescent="0.35">
      <c r="A17" s="1" t="s">
        <v>16</v>
      </c>
      <c r="B17">
        <v>137.26030405</v>
      </c>
      <c r="C17">
        <v>373.23426406332061</v>
      </c>
      <c r="D17">
        <v>0.8021541762864618</v>
      </c>
      <c r="E17">
        <v>4</v>
      </c>
      <c r="F17">
        <v>0.80479261456953444</v>
      </c>
      <c r="H17">
        <f t="shared" si="0"/>
        <v>0</v>
      </c>
      <c r="I17">
        <f t="shared" si="1"/>
        <v>1</v>
      </c>
      <c r="J17">
        <f t="shared" si="2"/>
        <v>1</v>
      </c>
    </row>
    <row r="18" spans="1:10" x14ac:dyDescent="0.35">
      <c r="A18" s="1" t="s">
        <v>17</v>
      </c>
      <c r="B18">
        <v>137.99893083000001</v>
      </c>
      <c r="C18">
        <v>433.85145221230658</v>
      </c>
      <c r="D18">
        <v>0.79002942474599502</v>
      </c>
      <c r="E18">
        <v>3</v>
      </c>
      <c r="F18">
        <v>0.80612359826268576</v>
      </c>
      <c r="H18">
        <f t="shared" si="0"/>
        <v>0</v>
      </c>
      <c r="I18">
        <f t="shared" si="1"/>
        <v>1</v>
      </c>
      <c r="J18">
        <f t="shared" si="2"/>
        <v>1</v>
      </c>
    </row>
    <row r="19" spans="1:10" x14ac:dyDescent="0.35">
      <c r="A19" s="1" t="s">
        <v>18</v>
      </c>
      <c r="B19">
        <v>139.54310845000001</v>
      </c>
      <c r="C19">
        <v>81.802913867074807</v>
      </c>
      <c r="D19">
        <v>0.80999689430505262</v>
      </c>
      <c r="E19">
        <v>4</v>
      </c>
      <c r="F19">
        <v>0.81153264016974003</v>
      </c>
      <c r="H19">
        <f t="shared" si="0"/>
        <v>1</v>
      </c>
      <c r="I19">
        <f t="shared" si="1"/>
        <v>1</v>
      </c>
      <c r="J19">
        <f t="shared" si="2"/>
        <v>0</v>
      </c>
    </row>
    <row r="20" spans="1:10" x14ac:dyDescent="0.35">
      <c r="A20" s="1" t="s">
        <v>19</v>
      </c>
      <c r="B20">
        <v>144.93439376000001</v>
      </c>
      <c r="C20">
        <v>260.87172516275268</v>
      </c>
      <c r="D20">
        <v>0.79222546010256412</v>
      </c>
      <c r="E20">
        <v>5</v>
      </c>
      <c r="F20">
        <v>0.78553514186885032</v>
      </c>
      <c r="H20">
        <f t="shared" si="0"/>
        <v>0</v>
      </c>
      <c r="I20">
        <f t="shared" si="1"/>
        <v>1</v>
      </c>
      <c r="J20">
        <f t="shared" si="2"/>
        <v>1</v>
      </c>
    </row>
    <row r="21" spans="1:10" x14ac:dyDescent="0.35">
      <c r="A21" s="1" t="s">
        <v>20</v>
      </c>
      <c r="B21">
        <v>132.57143199000001</v>
      </c>
      <c r="C21">
        <v>448.93988811850949</v>
      </c>
      <c r="D21">
        <v>0.79953860528391141</v>
      </c>
      <c r="E21">
        <v>3</v>
      </c>
      <c r="F21">
        <v>0.80430908251019329</v>
      </c>
      <c r="H21">
        <f t="shared" si="0"/>
        <v>0</v>
      </c>
      <c r="I21">
        <f t="shared" si="1"/>
        <v>1</v>
      </c>
      <c r="J21">
        <f t="shared" si="2"/>
        <v>1</v>
      </c>
    </row>
    <row r="22" spans="1:10" x14ac:dyDescent="0.35">
      <c r="A22" s="1" t="s">
        <v>21</v>
      </c>
      <c r="B22">
        <v>129.23284816</v>
      </c>
      <c r="C22">
        <v>41.058006690493883</v>
      </c>
      <c r="D22">
        <v>0.80039522422889808</v>
      </c>
      <c r="E22">
        <v>5</v>
      </c>
      <c r="F22">
        <v>0.81128627889704452</v>
      </c>
      <c r="H22">
        <f t="shared" si="0"/>
        <v>1</v>
      </c>
      <c r="I22">
        <f t="shared" si="1"/>
        <v>1</v>
      </c>
      <c r="J22">
        <f t="shared" si="2"/>
        <v>0</v>
      </c>
    </row>
    <row r="23" spans="1:10" x14ac:dyDescent="0.35">
      <c r="A23" s="1" t="s">
        <v>22</v>
      </c>
      <c r="B23">
        <v>140.67602418000001</v>
      </c>
      <c r="C23">
        <v>467.16115360551169</v>
      </c>
      <c r="D23">
        <v>0.78406999941608047</v>
      </c>
      <c r="E23">
        <v>3</v>
      </c>
      <c r="F23">
        <v>0.80138412951067273</v>
      </c>
      <c r="H23">
        <f t="shared" si="0"/>
        <v>0</v>
      </c>
      <c r="I23">
        <f t="shared" si="1"/>
        <v>1</v>
      </c>
      <c r="J23">
        <f t="shared" si="2"/>
        <v>1</v>
      </c>
    </row>
    <row r="24" spans="1:10" x14ac:dyDescent="0.35">
      <c r="A24" s="1" t="s">
        <v>23</v>
      </c>
      <c r="B24">
        <v>131.33118841000001</v>
      </c>
      <c r="C24">
        <v>138.10311791006609</v>
      </c>
      <c r="D24">
        <v>0.80921650746432527</v>
      </c>
      <c r="E24">
        <v>6</v>
      </c>
      <c r="F24">
        <v>0.80197591539043378</v>
      </c>
      <c r="H24">
        <f t="shared" si="0"/>
        <v>0</v>
      </c>
      <c r="I24">
        <f t="shared" si="1"/>
        <v>1</v>
      </c>
      <c r="J24">
        <f t="shared" si="2"/>
        <v>1</v>
      </c>
    </row>
    <row r="25" spans="1:10" x14ac:dyDescent="0.35">
      <c r="A25" s="1" t="s">
        <v>24</v>
      </c>
      <c r="B25">
        <v>145.37788509000001</v>
      </c>
      <c r="C25">
        <v>243.6817504121214</v>
      </c>
      <c r="D25">
        <v>0.80566013927936198</v>
      </c>
      <c r="E25">
        <v>4</v>
      </c>
      <c r="F25">
        <v>0.7882703593131789</v>
      </c>
      <c r="H25">
        <f t="shared" si="0"/>
        <v>0</v>
      </c>
      <c r="I25">
        <f t="shared" si="1"/>
        <v>1</v>
      </c>
      <c r="J25">
        <f t="shared" si="2"/>
        <v>1</v>
      </c>
    </row>
    <row r="26" spans="1:10" x14ac:dyDescent="0.35">
      <c r="A26" s="1" t="s">
        <v>25</v>
      </c>
      <c r="B26">
        <v>145.93134850000001</v>
      </c>
      <c r="C26">
        <v>489.50469938012611</v>
      </c>
      <c r="D26">
        <v>0.80572142486798248</v>
      </c>
      <c r="E26">
        <v>3</v>
      </c>
      <c r="F26">
        <v>0.76506713834058526</v>
      </c>
      <c r="H26">
        <f t="shared" si="0"/>
        <v>0</v>
      </c>
      <c r="I26">
        <f t="shared" si="1"/>
        <v>1</v>
      </c>
      <c r="J26">
        <f t="shared" si="2"/>
        <v>1</v>
      </c>
    </row>
    <row r="27" spans="1:10" x14ac:dyDescent="0.35">
      <c r="A27" s="1" t="s">
        <v>26</v>
      </c>
      <c r="B27">
        <v>133.34355524</v>
      </c>
      <c r="C27">
        <v>447.7148575929258</v>
      </c>
      <c r="D27">
        <v>0.80538696954424116</v>
      </c>
      <c r="E27">
        <v>4</v>
      </c>
      <c r="F27">
        <v>0.80759973580269206</v>
      </c>
      <c r="H27">
        <f t="shared" si="0"/>
        <v>0</v>
      </c>
      <c r="I27">
        <f t="shared" si="1"/>
        <v>1</v>
      </c>
      <c r="J27">
        <f t="shared" si="2"/>
        <v>1</v>
      </c>
    </row>
    <row r="28" spans="1:10" x14ac:dyDescent="0.35">
      <c r="A28" s="1" t="s">
        <v>27</v>
      </c>
      <c r="B28">
        <v>147.71980952000001</v>
      </c>
      <c r="C28">
        <v>247.72376843829309</v>
      </c>
      <c r="D28">
        <v>0.80615209196230975</v>
      </c>
      <c r="E28">
        <v>3</v>
      </c>
      <c r="F28">
        <v>0.78337971763296654</v>
      </c>
      <c r="H28">
        <f t="shared" si="0"/>
        <v>0</v>
      </c>
      <c r="I28">
        <f t="shared" si="1"/>
        <v>1</v>
      </c>
      <c r="J28">
        <f t="shared" si="2"/>
        <v>1</v>
      </c>
    </row>
    <row r="29" spans="1:10" x14ac:dyDescent="0.35">
      <c r="A29" s="1" t="s">
        <v>28</v>
      </c>
      <c r="B29">
        <v>136.38542898</v>
      </c>
      <c r="C29">
        <v>310.97899532595579</v>
      </c>
      <c r="D29">
        <v>0.79238614213173808</v>
      </c>
      <c r="E29">
        <v>3</v>
      </c>
      <c r="F29">
        <v>0.80445008921189942</v>
      </c>
      <c r="H29">
        <f t="shared" si="0"/>
        <v>0</v>
      </c>
      <c r="I29">
        <f t="shared" si="1"/>
        <v>1</v>
      </c>
      <c r="J29">
        <f t="shared" si="2"/>
        <v>1</v>
      </c>
    </row>
    <row r="30" spans="1:10" x14ac:dyDescent="0.35">
      <c r="A30" s="1" t="s">
        <v>29</v>
      </c>
      <c r="B30">
        <v>138.32299075</v>
      </c>
      <c r="C30">
        <v>300.74594747675229</v>
      </c>
      <c r="D30">
        <v>0.80432303896350266</v>
      </c>
      <c r="E30">
        <v>5</v>
      </c>
      <c r="F30">
        <v>0.80098732971924769</v>
      </c>
      <c r="H30">
        <f t="shared" si="0"/>
        <v>0</v>
      </c>
      <c r="I30">
        <f t="shared" si="1"/>
        <v>1</v>
      </c>
      <c r="J30">
        <f t="shared" si="2"/>
        <v>1</v>
      </c>
    </row>
    <row r="31" spans="1:10" x14ac:dyDescent="0.35">
      <c r="A31" s="1" t="s">
        <v>30</v>
      </c>
      <c r="B31">
        <v>143.44031150000001</v>
      </c>
      <c r="C31">
        <v>27.99894938841712</v>
      </c>
      <c r="D31">
        <v>0.80090624298829449</v>
      </c>
      <c r="E31">
        <v>9</v>
      </c>
      <c r="F31">
        <v>0.8000855597403902</v>
      </c>
      <c r="H31">
        <f t="shared" si="0"/>
        <v>1</v>
      </c>
      <c r="I31">
        <f t="shared" si="1"/>
        <v>1</v>
      </c>
      <c r="J31">
        <f t="shared" si="2"/>
        <v>0</v>
      </c>
    </row>
    <row r="32" spans="1:10" x14ac:dyDescent="0.35">
      <c r="A32" s="1" t="s">
        <v>31</v>
      </c>
      <c r="B32">
        <v>144.42412390000001</v>
      </c>
      <c r="C32">
        <v>164.93585713831141</v>
      </c>
      <c r="D32">
        <v>0.80982395208604174</v>
      </c>
      <c r="E32">
        <v>5</v>
      </c>
      <c r="F32">
        <v>0.7815585518195286</v>
      </c>
      <c r="H32">
        <f t="shared" si="0"/>
        <v>0</v>
      </c>
      <c r="I32">
        <f t="shared" si="1"/>
        <v>1</v>
      </c>
      <c r="J32">
        <f t="shared" si="2"/>
        <v>1</v>
      </c>
    </row>
    <row r="33" spans="1:10" x14ac:dyDescent="0.35">
      <c r="A33" s="1" t="s">
        <v>32</v>
      </c>
      <c r="B33">
        <v>143.76883512000001</v>
      </c>
      <c r="C33">
        <v>365.02774593049548</v>
      </c>
      <c r="D33">
        <v>0.77338452792419332</v>
      </c>
      <c r="E33">
        <v>3</v>
      </c>
      <c r="F33">
        <v>0.7787561245886836</v>
      </c>
      <c r="H33">
        <f t="shared" si="0"/>
        <v>0</v>
      </c>
      <c r="I33">
        <f t="shared" si="1"/>
        <v>1</v>
      </c>
      <c r="J33">
        <f t="shared" si="2"/>
        <v>1</v>
      </c>
    </row>
    <row r="34" spans="1:10" x14ac:dyDescent="0.35">
      <c r="A34" s="1" t="s">
        <v>33</v>
      </c>
      <c r="B34">
        <v>134.67739477000001</v>
      </c>
      <c r="C34">
        <v>251.26011265601579</v>
      </c>
      <c r="D34">
        <v>0.78716373214668545</v>
      </c>
      <c r="E34">
        <v>3</v>
      </c>
      <c r="F34">
        <v>0.79811497107380114</v>
      </c>
      <c r="H34">
        <f t="shared" si="0"/>
        <v>0</v>
      </c>
      <c r="I34">
        <f t="shared" si="1"/>
        <v>1</v>
      </c>
      <c r="J34">
        <f t="shared" si="2"/>
        <v>1</v>
      </c>
    </row>
    <row r="35" spans="1:10" x14ac:dyDescent="0.35">
      <c r="A35" s="1" t="s">
        <v>34</v>
      </c>
      <c r="B35">
        <v>144.49517917</v>
      </c>
      <c r="C35">
        <v>243.7698364163324</v>
      </c>
      <c r="D35">
        <v>0.82301759994733359</v>
      </c>
      <c r="E35">
        <v>19</v>
      </c>
      <c r="F35">
        <v>0.79660506809238951</v>
      </c>
      <c r="H35">
        <f t="shared" si="0"/>
        <v>0</v>
      </c>
      <c r="I35">
        <f t="shared" si="1"/>
        <v>1</v>
      </c>
      <c r="J35">
        <f t="shared" si="2"/>
        <v>1</v>
      </c>
    </row>
    <row r="36" spans="1:10" x14ac:dyDescent="0.35">
      <c r="A36" s="1" t="s">
        <v>35</v>
      </c>
      <c r="B36">
        <v>140.49289762999999</v>
      </c>
      <c r="C36">
        <v>160.6151638767015</v>
      </c>
      <c r="D36">
        <v>0.80479730045216347</v>
      </c>
      <c r="E36">
        <v>5</v>
      </c>
      <c r="F36">
        <v>0.79767001374612045</v>
      </c>
      <c r="H36">
        <f t="shared" si="0"/>
        <v>0</v>
      </c>
      <c r="I36">
        <f t="shared" si="1"/>
        <v>1</v>
      </c>
      <c r="J36">
        <f t="shared" si="2"/>
        <v>1</v>
      </c>
    </row>
    <row r="37" spans="1:10" x14ac:dyDescent="0.35">
      <c r="A37" s="1" t="s">
        <v>36</v>
      </c>
      <c r="B37">
        <v>145.99324648000001</v>
      </c>
      <c r="C37">
        <v>262.25216413397192</v>
      </c>
      <c r="D37">
        <v>0.79950301985139938</v>
      </c>
      <c r="E37">
        <v>3</v>
      </c>
      <c r="F37">
        <v>0.79507566410945307</v>
      </c>
      <c r="H37">
        <f t="shared" si="0"/>
        <v>0</v>
      </c>
      <c r="I37">
        <f t="shared" si="1"/>
        <v>1</v>
      </c>
      <c r="J37">
        <f t="shared" si="2"/>
        <v>1</v>
      </c>
    </row>
    <row r="38" spans="1:10" x14ac:dyDescent="0.35">
      <c r="A38" s="1" t="s">
        <v>37</v>
      </c>
      <c r="B38">
        <v>139.56025499</v>
      </c>
      <c r="C38">
        <v>25.45924068429202</v>
      </c>
      <c r="D38">
        <v>0.78599906799314556</v>
      </c>
      <c r="E38">
        <v>14</v>
      </c>
      <c r="F38">
        <v>0.81463921454371346</v>
      </c>
      <c r="H38">
        <f t="shared" si="0"/>
        <v>1</v>
      </c>
      <c r="I38">
        <f t="shared" si="1"/>
        <v>1</v>
      </c>
      <c r="J38">
        <f t="shared" si="2"/>
        <v>0</v>
      </c>
    </row>
    <row r="39" spans="1:10" x14ac:dyDescent="0.35">
      <c r="A39" s="1" t="s">
        <v>38</v>
      </c>
      <c r="B39">
        <v>136.17716515999999</v>
      </c>
      <c r="C39">
        <v>223.61275032503181</v>
      </c>
      <c r="D39">
        <v>0.80696336462152762</v>
      </c>
      <c r="E39">
        <v>4</v>
      </c>
      <c r="F39">
        <v>0.80975324980025343</v>
      </c>
      <c r="H39">
        <f t="shared" si="0"/>
        <v>0</v>
      </c>
      <c r="I39">
        <f t="shared" si="1"/>
        <v>1</v>
      </c>
      <c r="J39">
        <f t="shared" si="2"/>
        <v>1</v>
      </c>
    </row>
    <row r="40" spans="1:10" x14ac:dyDescent="0.35">
      <c r="A40" s="1" t="s">
        <v>39</v>
      </c>
      <c r="B40">
        <v>139.87349748</v>
      </c>
      <c r="C40">
        <v>20.962988464137091</v>
      </c>
      <c r="D40">
        <v>0.7941017087214739</v>
      </c>
      <c r="E40">
        <v>16</v>
      </c>
      <c r="F40">
        <v>0.78679281928417621</v>
      </c>
      <c r="H40">
        <f t="shared" si="0"/>
        <v>1</v>
      </c>
      <c r="I40">
        <f t="shared" si="1"/>
        <v>1</v>
      </c>
      <c r="J40">
        <f t="shared" si="2"/>
        <v>0</v>
      </c>
    </row>
    <row r="41" spans="1:10" x14ac:dyDescent="0.35">
      <c r="A41" s="1" t="s">
        <v>40</v>
      </c>
      <c r="B41">
        <v>126.72198799</v>
      </c>
      <c r="C41">
        <v>320.5370763983172</v>
      </c>
      <c r="D41">
        <v>0.79574925013558739</v>
      </c>
      <c r="E41">
        <v>8</v>
      </c>
      <c r="F41">
        <v>0.81674173742172362</v>
      </c>
      <c r="H41">
        <f t="shared" si="0"/>
        <v>0</v>
      </c>
      <c r="I41">
        <f t="shared" si="1"/>
        <v>1</v>
      </c>
      <c r="J41">
        <f t="shared" si="2"/>
        <v>1</v>
      </c>
    </row>
    <row r="42" spans="1:10" x14ac:dyDescent="0.35">
      <c r="A42" s="1" t="s">
        <v>41</v>
      </c>
      <c r="B42">
        <v>147.46793149999999</v>
      </c>
      <c r="C42">
        <v>5.063142938992887</v>
      </c>
      <c r="D42">
        <v>0.70719502441469595</v>
      </c>
      <c r="E42">
        <v>24</v>
      </c>
      <c r="F42">
        <v>0.79289617559755232</v>
      </c>
      <c r="H42">
        <f t="shared" si="0"/>
        <v>1</v>
      </c>
      <c r="I42">
        <f t="shared" si="1"/>
        <v>1</v>
      </c>
      <c r="J42">
        <f t="shared" si="2"/>
        <v>0</v>
      </c>
    </row>
    <row r="43" spans="1:10" x14ac:dyDescent="0.35">
      <c r="A43" s="1" t="s">
        <v>42</v>
      </c>
      <c r="B43">
        <v>137.11214064000001</v>
      </c>
      <c r="C43">
        <v>114.76134748361081</v>
      </c>
      <c r="D43">
        <v>0.8078459366411469</v>
      </c>
      <c r="E43">
        <v>4</v>
      </c>
      <c r="F43">
        <v>0.79496543690531773</v>
      </c>
      <c r="H43">
        <f t="shared" si="0"/>
        <v>1</v>
      </c>
      <c r="I43">
        <f t="shared" si="1"/>
        <v>1</v>
      </c>
      <c r="J43">
        <f t="shared" si="2"/>
        <v>0</v>
      </c>
    </row>
    <row r="44" spans="1:10" x14ac:dyDescent="0.35">
      <c r="A44" s="1" t="s">
        <v>43</v>
      </c>
      <c r="B44">
        <v>141.73741751</v>
      </c>
      <c r="C44">
        <v>75.61782188309536</v>
      </c>
      <c r="D44">
        <v>0.78120124962735038</v>
      </c>
      <c r="E44">
        <v>4</v>
      </c>
      <c r="F44">
        <v>0.78250187628649481</v>
      </c>
      <c r="H44">
        <f t="shared" si="0"/>
        <v>1</v>
      </c>
      <c r="I44">
        <f t="shared" si="1"/>
        <v>1</v>
      </c>
      <c r="J44">
        <f t="shared" si="2"/>
        <v>0</v>
      </c>
    </row>
    <row r="45" spans="1:10" x14ac:dyDescent="0.35">
      <c r="A45" s="1" t="s">
        <v>44</v>
      </c>
      <c r="B45">
        <v>137.62190889999999</v>
      </c>
      <c r="C45">
        <v>95.114235202711512</v>
      </c>
      <c r="D45">
        <v>0.81495926680167574</v>
      </c>
      <c r="E45">
        <v>7</v>
      </c>
      <c r="F45">
        <v>0.80621718681438037</v>
      </c>
      <c r="H45">
        <f t="shared" si="0"/>
        <v>1</v>
      </c>
      <c r="I45">
        <f t="shared" si="1"/>
        <v>1</v>
      </c>
      <c r="J45">
        <f t="shared" si="2"/>
        <v>0</v>
      </c>
    </row>
    <row r="46" spans="1:10" x14ac:dyDescent="0.35">
      <c r="A46" s="1" t="s">
        <v>45</v>
      </c>
      <c r="B46">
        <v>135.35659483000001</v>
      </c>
      <c r="C46">
        <v>143.0564323007182</v>
      </c>
      <c r="D46">
        <v>0.8113655412254801</v>
      </c>
      <c r="E46">
        <v>5</v>
      </c>
      <c r="F46">
        <v>0.8008314897545048</v>
      </c>
      <c r="H46">
        <f t="shared" si="0"/>
        <v>0</v>
      </c>
      <c r="I46">
        <f t="shared" si="1"/>
        <v>1</v>
      </c>
      <c r="J46">
        <f t="shared" si="2"/>
        <v>1</v>
      </c>
    </row>
    <row r="47" spans="1:10" x14ac:dyDescent="0.35">
      <c r="A47" s="1" t="s">
        <v>46</v>
      </c>
      <c r="B47">
        <v>138.56163548000001</v>
      </c>
      <c r="C47">
        <v>284.3469360229044</v>
      </c>
      <c r="D47">
        <v>0.80316558060251408</v>
      </c>
      <c r="E47">
        <v>5</v>
      </c>
      <c r="F47">
        <v>0.80561073438249553</v>
      </c>
      <c r="H47">
        <f t="shared" si="0"/>
        <v>0</v>
      </c>
      <c r="I47">
        <f t="shared" si="1"/>
        <v>1</v>
      </c>
      <c r="J47">
        <f t="shared" si="2"/>
        <v>1</v>
      </c>
    </row>
    <row r="48" spans="1:10" x14ac:dyDescent="0.35">
      <c r="A48" s="1" t="s">
        <v>47</v>
      </c>
      <c r="B48">
        <v>140.66874218999999</v>
      </c>
      <c r="C48">
        <v>171.24330984084929</v>
      </c>
      <c r="D48">
        <v>0.77449627627314765</v>
      </c>
      <c r="E48">
        <v>4</v>
      </c>
      <c r="F48">
        <v>0.8022935703010462</v>
      </c>
      <c r="H48">
        <f t="shared" si="0"/>
        <v>0</v>
      </c>
      <c r="I48">
        <f t="shared" si="1"/>
        <v>1</v>
      </c>
      <c r="J48">
        <f t="shared" si="2"/>
        <v>1</v>
      </c>
    </row>
    <row r="49" spans="1:10" x14ac:dyDescent="0.35">
      <c r="A49" s="1" t="s">
        <v>48</v>
      </c>
      <c r="B49">
        <v>137.63752301</v>
      </c>
      <c r="C49">
        <v>486.60276086479229</v>
      </c>
      <c r="D49">
        <v>0.81086890960666269</v>
      </c>
      <c r="E49">
        <v>5</v>
      </c>
      <c r="F49">
        <v>0.80293326183865543</v>
      </c>
      <c r="H49">
        <f t="shared" si="0"/>
        <v>0</v>
      </c>
      <c r="I49">
        <f t="shared" si="1"/>
        <v>1</v>
      </c>
      <c r="J49">
        <f t="shared" si="2"/>
        <v>1</v>
      </c>
    </row>
    <row r="50" spans="1:10" x14ac:dyDescent="0.35">
      <c r="A50" s="1" t="s">
        <v>49</v>
      </c>
      <c r="B50">
        <v>141.67691522999999</v>
      </c>
      <c r="C50">
        <v>422.07711645638312</v>
      </c>
      <c r="D50">
        <v>0.80018520239757573</v>
      </c>
      <c r="E50">
        <v>3</v>
      </c>
      <c r="F50">
        <v>0.79777666391534485</v>
      </c>
      <c r="H50">
        <f t="shared" si="0"/>
        <v>0</v>
      </c>
      <c r="I50">
        <f t="shared" si="1"/>
        <v>1</v>
      </c>
      <c r="J50">
        <f t="shared" si="2"/>
        <v>1</v>
      </c>
    </row>
    <row r="51" spans="1:10" x14ac:dyDescent="0.35">
      <c r="A51" s="1" t="s">
        <v>50</v>
      </c>
      <c r="B51">
        <v>133.22745760999999</v>
      </c>
      <c r="C51">
        <v>336.76267207423899</v>
      </c>
      <c r="D51">
        <v>0.79579277505270229</v>
      </c>
      <c r="E51">
        <v>4</v>
      </c>
      <c r="F51">
        <v>0.8130490606842572</v>
      </c>
      <c r="H51">
        <f t="shared" si="0"/>
        <v>0</v>
      </c>
      <c r="I51">
        <f t="shared" si="1"/>
        <v>1</v>
      </c>
      <c r="J51">
        <f t="shared" si="2"/>
        <v>1</v>
      </c>
    </row>
    <row r="52" spans="1:10" x14ac:dyDescent="0.35">
      <c r="A52" s="1" t="s">
        <v>51</v>
      </c>
      <c r="B52">
        <v>125.86569157</v>
      </c>
      <c r="C52">
        <v>394.91148777048431</v>
      </c>
      <c r="D52">
        <v>0.789124696047105</v>
      </c>
      <c r="E52">
        <v>3</v>
      </c>
      <c r="F52">
        <v>0.81583354331542712</v>
      </c>
      <c r="H52">
        <f t="shared" si="0"/>
        <v>0</v>
      </c>
      <c r="I52">
        <f t="shared" si="1"/>
        <v>1</v>
      </c>
      <c r="J52">
        <f t="shared" si="2"/>
        <v>1</v>
      </c>
    </row>
    <row r="53" spans="1:10" x14ac:dyDescent="0.35">
      <c r="A53" s="1" t="s">
        <v>55</v>
      </c>
      <c r="B53">
        <v>304.58388165000002</v>
      </c>
      <c r="C53">
        <v>66.37249142201405</v>
      </c>
      <c r="D53">
        <v>0.81094576497898907</v>
      </c>
      <c r="E53">
        <v>12</v>
      </c>
      <c r="F53">
        <v>2.0550154624388371E-3</v>
      </c>
      <c r="H53">
        <f t="shared" si="0"/>
        <v>1</v>
      </c>
      <c r="I53">
        <f t="shared" si="1"/>
        <v>0</v>
      </c>
      <c r="J53">
        <f t="shared" si="2"/>
        <v>1</v>
      </c>
    </row>
    <row r="54" spans="1:10" x14ac:dyDescent="0.35">
      <c r="A54" s="1" t="s">
        <v>56</v>
      </c>
      <c r="B54">
        <v>260.68773685999997</v>
      </c>
      <c r="C54">
        <v>167.88905330261781</v>
      </c>
      <c r="D54">
        <v>0.80128537083701612</v>
      </c>
      <c r="E54">
        <v>0</v>
      </c>
      <c r="F54">
        <v>3.8643977043224039E-4</v>
      </c>
      <c r="H54">
        <f t="shared" si="0"/>
        <v>1</v>
      </c>
      <c r="I54">
        <f t="shared" si="1"/>
        <v>0</v>
      </c>
      <c r="J54">
        <f t="shared" si="2"/>
        <v>1</v>
      </c>
    </row>
    <row r="55" spans="1:10" x14ac:dyDescent="0.35">
      <c r="A55" s="1" t="s">
        <v>57</v>
      </c>
      <c r="B55">
        <v>198.36545183000001</v>
      </c>
      <c r="C55">
        <v>199.48294946469139</v>
      </c>
      <c r="D55">
        <v>0.80418818171438267</v>
      </c>
      <c r="E55">
        <v>7</v>
      </c>
      <c r="F55">
        <v>0.47167304772189861</v>
      </c>
      <c r="H55">
        <f t="shared" si="0"/>
        <v>0</v>
      </c>
      <c r="I55">
        <f t="shared" si="1"/>
        <v>0</v>
      </c>
      <c r="J55">
        <f t="shared" si="2"/>
        <v>0</v>
      </c>
    </row>
    <row r="56" spans="1:10" x14ac:dyDescent="0.35">
      <c r="A56" s="1" t="s">
        <v>58</v>
      </c>
      <c r="B56">
        <v>195.03495641000001</v>
      </c>
      <c r="C56">
        <v>194.13956519594259</v>
      </c>
      <c r="D56">
        <v>0.8036604020921797</v>
      </c>
      <c r="E56">
        <v>6</v>
      </c>
      <c r="F56">
        <v>0.49682545728622168</v>
      </c>
      <c r="H56">
        <f t="shared" si="0"/>
        <v>1</v>
      </c>
      <c r="I56">
        <f t="shared" si="1"/>
        <v>0</v>
      </c>
      <c r="J56">
        <f t="shared" si="2"/>
        <v>1</v>
      </c>
    </row>
    <row r="57" spans="1:10" x14ac:dyDescent="0.35">
      <c r="A57" s="1" t="s">
        <v>59</v>
      </c>
      <c r="B57">
        <v>301.97546419999998</v>
      </c>
      <c r="C57">
        <v>62.720470719480019</v>
      </c>
      <c r="D57">
        <v>0.79741704714157402</v>
      </c>
      <c r="E57">
        <v>8</v>
      </c>
      <c r="F57">
        <v>1.7958477412071731E-3</v>
      </c>
      <c r="H57">
        <f t="shared" si="0"/>
        <v>1</v>
      </c>
      <c r="I57">
        <f t="shared" si="1"/>
        <v>0</v>
      </c>
      <c r="J57">
        <f t="shared" si="2"/>
        <v>1</v>
      </c>
    </row>
    <row r="58" spans="1:10" x14ac:dyDescent="0.35">
      <c r="A58" s="1" t="s">
        <v>60</v>
      </c>
      <c r="B58">
        <v>299.40543212</v>
      </c>
      <c r="C58">
        <v>179.07803551441879</v>
      </c>
      <c r="D58">
        <v>0.79148925196101816</v>
      </c>
      <c r="E58">
        <v>0</v>
      </c>
      <c r="F58">
        <v>1.3828022603896829E-3</v>
      </c>
      <c r="H58">
        <f t="shared" si="0"/>
        <v>1</v>
      </c>
      <c r="I58">
        <f t="shared" si="1"/>
        <v>0</v>
      </c>
      <c r="J58">
        <f t="shared" si="2"/>
        <v>1</v>
      </c>
    </row>
    <row r="59" spans="1:10" x14ac:dyDescent="0.35">
      <c r="A59" s="1" t="s">
        <v>61</v>
      </c>
      <c r="B59">
        <v>300.15095045999999</v>
      </c>
      <c r="C59">
        <v>223.26643454575139</v>
      </c>
      <c r="D59">
        <v>0.80455482282057456</v>
      </c>
      <c r="E59">
        <v>4</v>
      </c>
      <c r="F59">
        <v>3.9769929800374701E-4</v>
      </c>
      <c r="H59">
        <f t="shared" si="0"/>
        <v>1</v>
      </c>
      <c r="I59">
        <f t="shared" si="1"/>
        <v>0</v>
      </c>
      <c r="J59">
        <f t="shared" si="2"/>
        <v>1</v>
      </c>
    </row>
    <row r="60" spans="1:10" x14ac:dyDescent="0.35">
      <c r="A60" s="1" t="s">
        <v>62</v>
      </c>
      <c r="B60">
        <v>174.0504377</v>
      </c>
      <c r="C60">
        <v>193.4348597061495</v>
      </c>
      <c r="D60">
        <v>0.81819671042370201</v>
      </c>
      <c r="E60">
        <v>7</v>
      </c>
      <c r="F60">
        <v>0.53316581820154996</v>
      </c>
      <c r="H60">
        <f t="shared" si="0"/>
        <v>0</v>
      </c>
      <c r="I60">
        <f t="shared" si="1"/>
        <v>0</v>
      </c>
      <c r="J60">
        <f t="shared" si="2"/>
        <v>0</v>
      </c>
    </row>
    <row r="61" spans="1:10" x14ac:dyDescent="0.35">
      <c r="A61" s="1" t="s">
        <v>63</v>
      </c>
      <c r="B61">
        <v>187.37860431999999</v>
      </c>
      <c r="C61">
        <v>202.31984363480271</v>
      </c>
      <c r="D61">
        <v>0.808539850939064</v>
      </c>
      <c r="E61">
        <v>5</v>
      </c>
      <c r="F61">
        <v>0.50365009407211403</v>
      </c>
      <c r="H61">
        <f t="shared" si="0"/>
        <v>0</v>
      </c>
      <c r="I61">
        <f t="shared" si="1"/>
        <v>0</v>
      </c>
      <c r="J61">
        <f t="shared" si="2"/>
        <v>0</v>
      </c>
    </row>
    <row r="62" spans="1:10" x14ac:dyDescent="0.35">
      <c r="A62" s="1" t="s">
        <v>64</v>
      </c>
      <c r="B62">
        <v>303.60127901999999</v>
      </c>
      <c r="C62">
        <v>190.96661608340861</v>
      </c>
      <c r="D62">
        <v>0.81026389762894246</v>
      </c>
      <c r="E62">
        <v>4</v>
      </c>
      <c r="F62">
        <v>1.7010995891756241E-3</v>
      </c>
      <c r="H62">
        <f t="shared" si="0"/>
        <v>1</v>
      </c>
      <c r="I62">
        <f t="shared" si="1"/>
        <v>0</v>
      </c>
      <c r="J62">
        <f t="shared" si="2"/>
        <v>1</v>
      </c>
    </row>
    <row r="63" spans="1:10" x14ac:dyDescent="0.35">
      <c r="A63" s="1" t="s">
        <v>65</v>
      </c>
      <c r="B63">
        <v>265.64221206000002</v>
      </c>
      <c r="C63">
        <v>63.573629117783973</v>
      </c>
      <c r="D63">
        <v>0.79920609961567335</v>
      </c>
      <c r="E63">
        <v>8</v>
      </c>
      <c r="F63">
        <v>1.699937497621138E-3</v>
      </c>
      <c r="H63">
        <f t="shared" si="0"/>
        <v>1</v>
      </c>
      <c r="I63">
        <f t="shared" si="1"/>
        <v>0</v>
      </c>
      <c r="J63">
        <f t="shared" si="2"/>
        <v>1</v>
      </c>
    </row>
    <row r="64" spans="1:10" x14ac:dyDescent="0.35">
      <c r="A64" s="1" t="s">
        <v>66</v>
      </c>
      <c r="B64">
        <v>291.10727754999988</v>
      </c>
      <c r="C64">
        <v>168.06252915949219</v>
      </c>
      <c r="D64">
        <v>0.7926572614371189</v>
      </c>
      <c r="E64">
        <v>0</v>
      </c>
      <c r="F64">
        <v>6.8400575899347886E-3</v>
      </c>
      <c r="H64">
        <f t="shared" si="0"/>
        <v>1</v>
      </c>
      <c r="I64">
        <f t="shared" si="1"/>
        <v>0</v>
      </c>
      <c r="J64">
        <f t="shared" si="2"/>
        <v>1</v>
      </c>
    </row>
    <row r="65" spans="1:10" x14ac:dyDescent="0.35">
      <c r="A65" s="1" t="s">
        <v>67</v>
      </c>
      <c r="B65">
        <v>297.62786912000001</v>
      </c>
      <c r="C65">
        <v>65.073577839750129</v>
      </c>
      <c r="D65">
        <v>0.81918805127302174</v>
      </c>
      <c r="E65">
        <v>9</v>
      </c>
      <c r="F65">
        <v>7.926221865421551E-3</v>
      </c>
      <c r="H65">
        <f t="shared" si="0"/>
        <v>1</v>
      </c>
      <c r="I65">
        <f t="shared" si="1"/>
        <v>0</v>
      </c>
      <c r="J65">
        <f t="shared" si="2"/>
        <v>1</v>
      </c>
    </row>
    <row r="66" spans="1:10" x14ac:dyDescent="0.35">
      <c r="A66" s="1" t="s">
        <v>68</v>
      </c>
      <c r="B66">
        <v>184.13420765999999</v>
      </c>
      <c r="C66">
        <v>205.488630059624</v>
      </c>
      <c r="D66">
        <v>0.78585610321592458</v>
      </c>
      <c r="E66">
        <v>5</v>
      </c>
      <c r="F66">
        <v>0.49114468723417348</v>
      </c>
      <c r="H66">
        <f t="shared" si="0"/>
        <v>0</v>
      </c>
      <c r="I66">
        <f t="shared" si="1"/>
        <v>0</v>
      </c>
      <c r="J66">
        <f t="shared" si="2"/>
        <v>0</v>
      </c>
    </row>
    <row r="67" spans="1:10" x14ac:dyDescent="0.35">
      <c r="A67" s="1" t="s">
        <v>69</v>
      </c>
      <c r="B67">
        <v>265.92839542000002</v>
      </c>
      <c r="C67">
        <v>69.811040779057251</v>
      </c>
      <c r="D67">
        <v>0.81513990973790684</v>
      </c>
      <c r="E67">
        <v>9</v>
      </c>
      <c r="F67">
        <v>8.8707448126069937E-3</v>
      </c>
      <c r="H67">
        <f t="shared" si="0"/>
        <v>1</v>
      </c>
      <c r="I67">
        <f t="shared" si="1"/>
        <v>0</v>
      </c>
      <c r="J67">
        <f t="shared" si="2"/>
        <v>1</v>
      </c>
    </row>
    <row r="68" spans="1:10" x14ac:dyDescent="0.35">
      <c r="A68" s="1" t="s">
        <v>70</v>
      </c>
      <c r="B68">
        <v>289.37037934</v>
      </c>
      <c r="C68">
        <v>209.4759710983468</v>
      </c>
      <c r="D68">
        <v>0.78144775797931132</v>
      </c>
      <c r="E68">
        <v>2</v>
      </c>
      <c r="F68">
        <v>4.8106219395505903E-6</v>
      </c>
      <c r="H68">
        <f t="shared" ref="H68:H102" si="3">IF(B68&gt;C68,1,0)</f>
        <v>1</v>
      </c>
      <c r="I68">
        <f t="shared" ref="I68:I102" si="4">IF(ABS(D68-F68)&lt;0.1, 1,0)</f>
        <v>0</v>
      </c>
      <c r="J68">
        <f t="shared" ref="J68:J102" si="5">IF(OR(AND(I68=0,B68&gt;C68),AND(I68=1,B68&lt;C68)),1,0)</f>
        <v>1</v>
      </c>
    </row>
    <row r="69" spans="1:10" x14ac:dyDescent="0.35">
      <c r="A69" s="1" t="s">
        <v>71</v>
      </c>
      <c r="B69">
        <v>268.61302834999998</v>
      </c>
      <c r="C69">
        <v>161.8447731765238</v>
      </c>
      <c r="D69">
        <v>0.7991490606541346</v>
      </c>
      <c r="E69">
        <v>0</v>
      </c>
      <c r="F69">
        <v>1.303670999953163E-2</v>
      </c>
      <c r="H69">
        <f t="shared" si="3"/>
        <v>1</v>
      </c>
      <c r="I69">
        <f t="shared" si="4"/>
        <v>0</v>
      </c>
      <c r="J69">
        <f t="shared" si="5"/>
        <v>1</v>
      </c>
    </row>
    <row r="70" spans="1:10" x14ac:dyDescent="0.35">
      <c r="A70" s="1" t="s">
        <v>72</v>
      </c>
      <c r="B70">
        <v>300.31404703999999</v>
      </c>
      <c r="C70">
        <v>208.15830225952041</v>
      </c>
      <c r="D70">
        <v>0.81348261095433139</v>
      </c>
      <c r="E70">
        <v>2</v>
      </c>
      <c r="F70">
        <v>8.5840607181155164E-4</v>
      </c>
      <c r="H70">
        <f t="shared" si="3"/>
        <v>1</v>
      </c>
      <c r="I70">
        <f t="shared" si="4"/>
        <v>0</v>
      </c>
      <c r="J70">
        <f t="shared" si="5"/>
        <v>1</v>
      </c>
    </row>
    <row r="71" spans="1:10" x14ac:dyDescent="0.35">
      <c r="A71" s="1" t="s">
        <v>73</v>
      </c>
      <c r="B71">
        <v>188.52585826999999</v>
      </c>
      <c r="C71">
        <v>199.1862262586599</v>
      </c>
      <c r="D71">
        <v>0.81381007048588694</v>
      </c>
      <c r="E71">
        <v>6</v>
      </c>
      <c r="F71">
        <v>0.48680333951611798</v>
      </c>
      <c r="H71">
        <f t="shared" si="3"/>
        <v>0</v>
      </c>
      <c r="I71">
        <f t="shared" si="4"/>
        <v>0</v>
      </c>
      <c r="J71">
        <f t="shared" si="5"/>
        <v>0</v>
      </c>
    </row>
    <row r="72" spans="1:10" x14ac:dyDescent="0.35">
      <c r="A72" s="1" t="s">
        <v>74</v>
      </c>
      <c r="B72">
        <v>269.98514802</v>
      </c>
      <c r="C72">
        <v>159.83944037558021</v>
      </c>
      <c r="D72">
        <v>0.7998671766357438</v>
      </c>
      <c r="E72">
        <v>0</v>
      </c>
      <c r="F72">
        <v>1.089401530963615E-2</v>
      </c>
      <c r="H72">
        <f t="shared" si="3"/>
        <v>1</v>
      </c>
      <c r="I72">
        <f t="shared" si="4"/>
        <v>0</v>
      </c>
      <c r="J72">
        <f t="shared" si="5"/>
        <v>1</v>
      </c>
    </row>
    <row r="73" spans="1:10" x14ac:dyDescent="0.35">
      <c r="A73" s="1" t="s">
        <v>75</v>
      </c>
      <c r="B73">
        <v>200.68663373999999</v>
      </c>
      <c r="C73">
        <v>198.50139131329601</v>
      </c>
      <c r="D73">
        <v>0.81062282608171643</v>
      </c>
      <c r="E73">
        <v>9</v>
      </c>
      <c r="F73">
        <v>0.47194812969501121</v>
      </c>
      <c r="H73">
        <f t="shared" si="3"/>
        <v>1</v>
      </c>
      <c r="I73">
        <f t="shared" si="4"/>
        <v>0</v>
      </c>
      <c r="J73">
        <f t="shared" si="5"/>
        <v>1</v>
      </c>
    </row>
    <row r="74" spans="1:10" x14ac:dyDescent="0.35">
      <c r="A74" s="1" t="s">
        <v>76</v>
      </c>
      <c r="B74">
        <v>279.60337042999998</v>
      </c>
      <c r="C74">
        <v>165.12732092552119</v>
      </c>
      <c r="D74">
        <v>0.79238176758676138</v>
      </c>
      <c r="E74">
        <v>0</v>
      </c>
      <c r="F74">
        <v>1.879518173859934E-3</v>
      </c>
      <c r="H74">
        <f t="shared" si="3"/>
        <v>1</v>
      </c>
      <c r="I74">
        <f t="shared" si="4"/>
        <v>0</v>
      </c>
      <c r="J74">
        <f t="shared" si="5"/>
        <v>1</v>
      </c>
    </row>
    <row r="75" spans="1:10" x14ac:dyDescent="0.35">
      <c r="A75" s="1" t="s">
        <v>77</v>
      </c>
      <c r="B75">
        <v>289.55693418999999</v>
      </c>
      <c r="C75">
        <v>71.518626485408035</v>
      </c>
      <c r="D75">
        <v>0.8052442360409745</v>
      </c>
      <c r="E75">
        <v>11</v>
      </c>
      <c r="F75">
        <v>1.9542649359182229E-4</v>
      </c>
      <c r="H75">
        <f t="shared" si="3"/>
        <v>1</v>
      </c>
      <c r="I75">
        <f t="shared" si="4"/>
        <v>0</v>
      </c>
      <c r="J75">
        <f t="shared" si="5"/>
        <v>1</v>
      </c>
    </row>
    <row r="76" spans="1:10" x14ac:dyDescent="0.35">
      <c r="A76" s="1" t="s">
        <v>78</v>
      </c>
      <c r="B76">
        <v>202.20770719000001</v>
      </c>
      <c r="C76">
        <v>208.93452158504351</v>
      </c>
      <c r="D76">
        <v>0.8032223057048159</v>
      </c>
      <c r="E76">
        <v>5</v>
      </c>
      <c r="F76">
        <v>0.42661846760904709</v>
      </c>
      <c r="H76">
        <f t="shared" si="3"/>
        <v>0</v>
      </c>
      <c r="I76">
        <f t="shared" si="4"/>
        <v>0</v>
      </c>
      <c r="J76">
        <f t="shared" si="5"/>
        <v>0</v>
      </c>
    </row>
    <row r="77" spans="1:10" x14ac:dyDescent="0.35">
      <c r="A77" s="1" t="s">
        <v>79</v>
      </c>
      <c r="B77">
        <v>178.07682819999999</v>
      </c>
      <c r="C77">
        <v>190.34989956213971</v>
      </c>
      <c r="D77">
        <v>0.80840956921656393</v>
      </c>
      <c r="E77">
        <v>6</v>
      </c>
      <c r="F77">
        <v>0.51665728655199827</v>
      </c>
      <c r="H77">
        <f t="shared" si="3"/>
        <v>0</v>
      </c>
      <c r="I77">
        <f t="shared" si="4"/>
        <v>0</v>
      </c>
      <c r="J77">
        <f t="shared" si="5"/>
        <v>0</v>
      </c>
    </row>
    <row r="78" spans="1:10" x14ac:dyDescent="0.35">
      <c r="A78" s="1" t="s">
        <v>80</v>
      </c>
      <c r="B78">
        <v>278.95791050999998</v>
      </c>
      <c r="C78">
        <v>70.711935769566423</v>
      </c>
      <c r="D78">
        <v>0.81163874666123781</v>
      </c>
      <c r="E78">
        <v>9</v>
      </c>
      <c r="F78">
        <v>1.344991451389765E-5</v>
      </c>
      <c r="H78">
        <f t="shared" si="3"/>
        <v>1</v>
      </c>
      <c r="I78">
        <f t="shared" si="4"/>
        <v>0</v>
      </c>
      <c r="J78">
        <f t="shared" si="5"/>
        <v>1</v>
      </c>
    </row>
    <row r="79" spans="1:10" x14ac:dyDescent="0.35">
      <c r="A79" s="1" t="s">
        <v>81</v>
      </c>
      <c r="B79">
        <v>309.05618265999999</v>
      </c>
      <c r="C79">
        <v>188.2344519890527</v>
      </c>
      <c r="D79">
        <v>0.80916955581168981</v>
      </c>
      <c r="E79">
        <v>3</v>
      </c>
      <c r="F79">
        <v>7.5447099440101903E-4</v>
      </c>
      <c r="H79">
        <f t="shared" si="3"/>
        <v>1</v>
      </c>
      <c r="I79">
        <f t="shared" si="4"/>
        <v>0</v>
      </c>
      <c r="J79">
        <f t="shared" si="5"/>
        <v>1</v>
      </c>
    </row>
    <row r="80" spans="1:10" x14ac:dyDescent="0.35">
      <c r="A80" s="1" t="s">
        <v>82</v>
      </c>
      <c r="B80">
        <v>305.59130097000002</v>
      </c>
      <c r="C80">
        <v>203.5534628906822</v>
      </c>
      <c r="D80">
        <v>0.81121532118390605</v>
      </c>
      <c r="E80">
        <v>4</v>
      </c>
      <c r="F80">
        <v>9.9240732535088045E-3</v>
      </c>
      <c r="H80">
        <f t="shared" si="3"/>
        <v>1</v>
      </c>
      <c r="I80">
        <f t="shared" si="4"/>
        <v>0</v>
      </c>
      <c r="J80">
        <f t="shared" si="5"/>
        <v>1</v>
      </c>
    </row>
    <row r="81" spans="1:10" x14ac:dyDescent="0.35">
      <c r="A81" s="1" t="s">
        <v>83</v>
      </c>
      <c r="B81">
        <v>188.7668913</v>
      </c>
      <c r="C81">
        <v>200.56238093519801</v>
      </c>
      <c r="D81">
        <v>0.81495469441181345</v>
      </c>
      <c r="E81">
        <v>5</v>
      </c>
      <c r="F81">
        <v>0.50604156805193834</v>
      </c>
      <c r="H81">
        <f t="shared" si="3"/>
        <v>0</v>
      </c>
      <c r="I81">
        <f t="shared" si="4"/>
        <v>0</v>
      </c>
      <c r="J81">
        <f t="shared" si="5"/>
        <v>0</v>
      </c>
    </row>
    <row r="82" spans="1:10" x14ac:dyDescent="0.35">
      <c r="A82" s="1" t="s">
        <v>84</v>
      </c>
      <c r="B82">
        <v>300.43581917</v>
      </c>
      <c r="C82">
        <v>210.14962187422239</v>
      </c>
      <c r="D82">
        <v>0.80980514623185018</v>
      </c>
      <c r="E82">
        <v>4</v>
      </c>
      <c r="F82">
        <v>1.942638793656259E-3</v>
      </c>
      <c r="H82">
        <f t="shared" si="3"/>
        <v>1</v>
      </c>
      <c r="I82">
        <f t="shared" si="4"/>
        <v>0</v>
      </c>
      <c r="J82">
        <f t="shared" si="5"/>
        <v>1</v>
      </c>
    </row>
    <row r="83" spans="1:10" x14ac:dyDescent="0.35">
      <c r="A83" s="1" t="s">
        <v>85</v>
      </c>
      <c r="B83">
        <v>273.01219572000002</v>
      </c>
      <c r="C83">
        <v>203.74718188191059</v>
      </c>
      <c r="D83">
        <v>0.81055506426817414</v>
      </c>
      <c r="E83">
        <v>3</v>
      </c>
      <c r="F83">
        <v>1.2460402935976129E-3</v>
      </c>
      <c r="H83">
        <f t="shared" si="3"/>
        <v>1</v>
      </c>
      <c r="I83">
        <f t="shared" si="4"/>
        <v>0</v>
      </c>
      <c r="J83">
        <f t="shared" si="5"/>
        <v>1</v>
      </c>
    </row>
    <row r="84" spans="1:10" x14ac:dyDescent="0.35">
      <c r="A84" s="1" t="s">
        <v>86</v>
      </c>
      <c r="B84">
        <v>285.95222860000001</v>
      </c>
      <c r="C84">
        <v>65.230214920908082</v>
      </c>
      <c r="D84">
        <v>0.80758926217731286</v>
      </c>
      <c r="E84">
        <v>13</v>
      </c>
      <c r="F84">
        <v>5.461122736409169E-6</v>
      </c>
      <c r="H84">
        <f t="shared" si="3"/>
        <v>1</v>
      </c>
      <c r="I84">
        <f t="shared" si="4"/>
        <v>0</v>
      </c>
      <c r="J84">
        <f t="shared" si="5"/>
        <v>1</v>
      </c>
    </row>
    <row r="85" spans="1:10" x14ac:dyDescent="0.35">
      <c r="A85" s="1" t="s">
        <v>87</v>
      </c>
      <c r="B85">
        <v>277.09194457000001</v>
      </c>
      <c r="C85">
        <v>63.861942070573122</v>
      </c>
      <c r="D85">
        <v>0.79981534848192504</v>
      </c>
      <c r="E85">
        <v>7</v>
      </c>
      <c r="F85">
        <v>5.2604578835322195E-4</v>
      </c>
      <c r="H85">
        <f t="shared" si="3"/>
        <v>1</v>
      </c>
      <c r="I85">
        <f t="shared" si="4"/>
        <v>0</v>
      </c>
      <c r="J85">
        <f t="shared" si="5"/>
        <v>1</v>
      </c>
    </row>
    <row r="86" spans="1:10" x14ac:dyDescent="0.35">
      <c r="A86" s="1" t="s">
        <v>88</v>
      </c>
      <c r="B86">
        <v>187.75781244999999</v>
      </c>
      <c r="C86">
        <v>203.30237780184879</v>
      </c>
      <c r="D86">
        <v>0.8017008059227283</v>
      </c>
      <c r="E86">
        <v>4</v>
      </c>
      <c r="F86">
        <v>0.49260253979675422</v>
      </c>
      <c r="H86">
        <f t="shared" si="3"/>
        <v>0</v>
      </c>
      <c r="I86">
        <f t="shared" si="4"/>
        <v>0</v>
      </c>
      <c r="J86">
        <f t="shared" si="5"/>
        <v>0</v>
      </c>
    </row>
    <row r="87" spans="1:10" x14ac:dyDescent="0.35">
      <c r="A87" s="1" t="s">
        <v>89</v>
      </c>
      <c r="B87">
        <v>276.08571930000011</v>
      </c>
      <c r="C87">
        <v>210.02010508794331</v>
      </c>
      <c r="D87">
        <v>0.80786587554689271</v>
      </c>
      <c r="E87">
        <v>5</v>
      </c>
      <c r="F87">
        <v>6.7751872853624056E-4</v>
      </c>
      <c r="H87">
        <f t="shared" si="3"/>
        <v>1</v>
      </c>
      <c r="I87">
        <f t="shared" si="4"/>
        <v>0</v>
      </c>
      <c r="J87">
        <f t="shared" si="5"/>
        <v>1</v>
      </c>
    </row>
    <row r="88" spans="1:10" x14ac:dyDescent="0.35">
      <c r="A88" s="1" t="s">
        <v>90</v>
      </c>
      <c r="B88">
        <v>181.48144221999999</v>
      </c>
      <c r="C88">
        <v>200.06559324243389</v>
      </c>
      <c r="D88">
        <v>0.79912317965615498</v>
      </c>
      <c r="E88">
        <v>5</v>
      </c>
      <c r="F88">
        <v>0.51102037309410475</v>
      </c>
      <c r="H88">
        <f t="shared" si="3"/>
        <v>0</v>
      </c>
      <c r="I88">
        <f t="shared" si="4"/>
        <v>0</v>
      </c>
      <c r="J88">
        <f t="shared" si="5"/>
        <v>0</v>
      </c>
    </row>
    <row r="89" spans="1:10" x14ac:dyDescent="0.35">
      <c r="A89" s="1" t="s">
        <v>91</v>
      </c>
      <c r="B89">
        <v>287.88650401000001</v>
      </c>
      <c r="C89">
        <v>74.048210657144807</v>
      </c>
      <c r="D89">
        <v>0.7910408423776325</v>
      </c>
      <c r="E89">
        <v>8</v>
      </c>
      <c r="F89">
        <v>1.133055783997769E-4</v>
      </c>
      <c r="H89">
        <f t="shared" si="3"/>
        <v>1</v>
      </c>
      <c r="I89">
        <f t="shared" si="4"/>
        <v>0</v>
      </c>
      <c r="J89">
        <f t="shared" si="5"/>
        <v>1</v>
      </c>
    </row>
    <row r="90" spans="1:10" x14ac:dyDescent="0.35">
      <c r="A90" s="1" t="s">
        <v>92</v>
      </c>
      <c r="B90">
        <v>274.74300452</v>
      </c>
      <c r="C90">
        <v>184.48663136965109</v>
      </c>
      <c r="D90">
        <v>0.7935245399925559</v>
      </c>
      <c r="E90">
        <v>0</v>
      </c>
      <c r="F90">
        <v>2.032263276687585E-3</v>
      </c>
      <c r="H90">
        <f t="shared" si="3"/>
        <v>1</v>
      </c>
      <c r="I90">
        <f t="shared" si="4"/>
        <v>0</v>
      </c>
      <c r="J90">
        <f t="shared" si="5"/>
        <v>1</v>
      </c>
    </row>
    <row r="91" spans="1:10" x14ac:dyDescent="0.35">
      <c r="A91" s="1" t="s">
        <v>93</v>
      </c>
      <c r="B91">
        <v>276.67009487000001</v>
      </c>
      <c r="C91">
        <v>187.8025550227155</v>
      </c>
      <c r="D91">
        <v>0.80678177550313535</v>
      </c>
      <c r="E91">
        <v>4</v>
      </c>
      <c r="F91">
        <v>1.1190311277670939E-3</v>
      </c>
      <c r="H91">
        <f t="shared" si="3"/>
        <v>1</v>
      </c>
      <c r="I91">
        <f t="shared" si="4"/>
        <v>0</v>
      </c>
      <c r="J91">
        <f t="shared" si="5"/>
        <v>1</v>
      </c>
    </row>
    <row r="92" spans="1:10" x14ac:dyDescent="0.35">
      <c r="A92" s="1" t="s">
        <v>94</v>
      </c>
      <c r="B92">
        <v>309.69557406000001</v>
      </c>
      <c r="C92">
        <v>172.73343570657229</v>
      </c>
      <c r="D92">
        <v>0.78881254832532999</v>
      </c>
      <c r="E92">
        <v>0</v>
      </c>
      <c r="F92">
        <v>9.7770662280100126E-5</v>
      </c>
      <c r="H92">
        <f t="shared" si="3"/>
        <v>1</v>
      </c>
      <c r="I92">
        <f t="shared" si="4"/>
        <v>0</v>
      </c>
      <c r="J92">
        <f t="shared" si="5"/>
        <v>1</v>
      </c>
    </row>
    <row r="93" spans="1:10" x14ac:dyDescent="0.35">
      <c r="A93" s="1" t="s">
        <v>95</v>
      </c>
      <c r="B93">
        <v>285.71457281999989</v>
      </c>
      <c r="C93">
        <v>170.66658614566759</v>
      </c>
      <c r="D93">
        <v>0.81849385376048533</v>
      </c>
      <c r="E93">
        <v>7</v>
      </c>
      <c r="F93">
        <v>3.9702173813695628E-5</v>
      </c>
      <c r="H93">
        <f t="shared" si="3"/>
        <v>1</v>
      </c>
      <c r="I93">
        <f t="shared" si="4"/>
        <v>0</v>
      </c>
      <c r="J93">
        <f t="shared" si="5"/>
        <v>1</v>
      </c>
    </row>
    <row r="94" spans="1:10" x14ac:dyDescent="0.35">
      <c r="A94" s="1" t="s">
        <v>96</v>
      </c>
      <c r="B94">
        <v>302.43276171999997</v>
      </c>
      <c r="C94">
        <v>176.29953688821271</v>
      </c>
      <c r="D94">
        <v>0.79683009661567228</v>
      </c>
      <c r="E94">
        <v>0</v>
      </c>
      <c r="F94">
        <v>4.5818379800910136E-3</v>
      </c>
      <c r="H94">
        <f t="shared" si="3"/>
        <v>1</v>
      </c>
      <c r="I94">
        <f t="shared" si="4"/>
        <v>0</v>
      </c>
      <c r="J94">
        <f t="shared" si="5"/>
        <v>1</v>
      </c>
    </row>
    <row r="95" spans="1:10" x14ac:dyDescent="0.35">
      <c r="A95" s="1" t="s">
        <v>97</v>
      </c>
      <c r="B95">
        <v>284.38840297000002</v>
      </c>
      <c r="C95">
        <v>164.24462525154411</v>
      </c>
      <c r="D95">
        <v>0.81078496784913789</v>
      </c>
      <c r="E95">
        <v>0</v>
      </c>
      <c r="F95">
        <v>5.0537997337570164E-3</v>
      </c>
      <c r="H95">
        <f t="shared" si="3"/>
        <v>1</v>
      </c>
      <c r="I95">
        <f t="shared" si="4"/>
        <v>0</v>
      </c>
      <c r="J95">
        <f t="shared" si="5"/>
        <v>1</v>
      </c>
    </row>
    <row r="96" spans="1:10" x14ac:dyDescent="0.35">
      <c r="A96" s="1" t="s">
        <v>98</v>
      </c>
      <c r="B96">
        <v>281.77625290999998</v>
      </c>
      <c r="C96">
        <v>181.95099882033611</v>
      </c>
      <c r="D96">
        <v>0.77808330767894984</v>
      </c>
      <c r="E96">
        <v>0</v>
      </c>
      <c r="F96">
        <v>1.501894013003398E-3</v>
      </c>
      <c r="H96">
        <f t="shared" si="3"/>
        <v>1</v>
      </c>
      <c r="I96">
        <f t="shared" si="4"/>
        <v>0</v>
      </c>
      <c r="J96">
        <f t="shared" si="5"/>
        <v>1</v>
      </c>
    </row>
    <row r="97" spans="1:10" x14ac:dyDescent="0.35">
      <c r="A97" s="1" t="s">
        <v>99</v>
      </c>
      <c r="B97">
        <v>297.14807192000001</v>
      </c>
      <c r="C97">
        <v>198.46962591759191</v>
      </c>
      <c r="D97">
        <v>0.78867654893357186</v>
      </c>
      <c r="E97">
        <v>2</v>
      </c>
      <c r="F97">
        <v>1.547414832819394E-5</v>
      </c>
      <c r="H97">
        <f t="shared" si="3"/>
        <v>1</v>
      </c>
      <c r="I97">
        <f t="shared" si="4"/>
        <v>0</v>
      </c>
      <c r="J97">
        <f t="shared" si="5"/>
        <v>1</v>
      </c>
    </row>
    <row r="98" spans="1:10" x14ac:dyDescent="0.35">
      <c r="A98" s="1" t="s">
        <v>100</v>
      </c>
      <c r="B98">
        <v>275.06552683000001</v>
      </c>
      <c r="C98">
        <v>71.330658165967094</v>
      </c>
      <c r="D98">
        <v>0.80472604644812407</v>
      </c>
      <c r="E98">
        <v>10</v>
      </c>
      <c r="F98">
        <v>3.4917609792062948E-4</v>
      </c>
      <c r="H98">
        <f t="shared" si="3"/>
        <v>1</v>
      </c>
      <c r="I98">
        <f t="shared" si="4"/>
        <v>0</v>
      </c>
      <c r="J98">
        <f t="shared" si="5"/>
        <v>1</v>
      </c>
    </row>
    <row r="99" spans="1:10" x14ac:dyDescent="0.35">
      <c r="A99" s="1" t="s">
        <v>101</v>
      </c>
      <c r="B99">
        <v>195.80642925000001</v>
      </c>
      <c r="C99">
        <v>201.05321880619729</v>
      </c>
      <c r="D99">
        <v>0.81745683403690839</v>
      </c>
      <c r="E99">
        <v>12</v>
      </c>
      <c r="F99">
        <v>0.49618997229574302</v>
      </c>
      <c r="H99">
        <f t="shared" si="3"/>
        <v>0</v>
      </c>
      <c r="I99">
        <f t="shared" si="4"/>
        <v>0</v>
      </c>
      <c r="J99">
        <f t="shared" si="5"/>
        <v>0</v>
      </c>
    </row>
    <row r="100" spans="1:10" x14ac:dyDescent="0.35">
      <c r="A100" s="1" t="s">
        <v>102</v>
      </c>
      <c r="B100">
        <v>287.35032331999997</v>
      </c>
      <c r="C100">
        <v>66.500488664797302</v>
      </c>
      <c r="D100">
        <v>0.79032360952566705</v>
      </c>
      <c r="E100">
        <v>9</v>
      </c>
      <c r="F100">
        <v>1.8431739338436331E-4</v>
      </c>
      <c r="H100">
        <f t="shared" si="3"/>
        <v>1</v>
      </c>
      <c r="I100">
        <f t="shared" si="4"/>
        <v>0</v>
      </c>
      <c r="J100">
        <f t="shared" si="5"/>
        <v>1</v>
      </c>
    </row>
    <row r="101" spans="1:10" x14ac:dyDescent="0.35">
      <c r="A101" s="1" t="s">
        <v>103</v>
      </c>
      <c r="B101">
        <v>290.48873641</v>
      </c>
      <c r="C101">
        <v>66.796594939928511</v>
      </c>
      <c r="D101">
        <v>0.8020967248284081</v>
      </c>
      <c r="E101">
        <v>8</v>
      </c>
      <c r="F101">
        <v>7.0989844483082876E-5</v>
      </c>
      <c r="H101">
        <f t="shared" si="3"/>
        <v>1</v>
      </c>
      <c r="I101">
        <f t="shared" si="4"/>
        <v>0</v>
      </c>
      <c r="J101">
        <f t="shared" si="5"/>
        <v>1</v>
      </c>
    </row>
    <row r="102" spans="1:10" x14ac:dyDescent="0.35">
      <c r="A102" s="1" t="s">
        <v>104</v>
      </c>
      <c r="B102">
        <v>303.69180740000002</v>
      </c>
      <c r="C102">
        <v>190.3308837916436</v>
      </c>
      <c r="D102">
        <v>0.79901274853976223</v>
      </c>
      <c r="E102">
        <v>3</v>
      </c>
      <c r="F102">
        <v>4.9977635350402029E-5</v>
      </c>
      <c r="H102">
        <f t="shared" si="3"/>
        <v>1</v>
      </c>
      <c r="I102">
        <f t="shared" si="4"/>
        <v>0</v>
      </c>
      <c r="J102">
        <f t="shared" si="5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2025-05-20T12:43:37Z</dcterms:created>
  <dcterms:modified xsi:type="dcterms:W3CDTF">2025-05-20T14:15:34Z</dcterms:modified>
</cp:coreProperties>
</file>