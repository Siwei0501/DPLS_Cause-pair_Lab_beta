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is-Linear/"/>
    </mc:Choice>
  </mc:AlternateContent>
  <xr:revisionPtr revIDLastSave="24" documentId="8_{8AAEAFBF-BF58-4CDF-BE0B-B6ADD57C5941}" xr6:coauthVersionLast="47" xr6:coauthVersionMax="47" xr10:uidLastSave="{0E2D191C-4D8F-4205-8E87-B679D1520BF3}"/>
  <bookViews>
    <workbookView xWindow="2810" yWindow="1670" windowWidth="2146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1" i="1" s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I1" i="1"/>
  <c r="J1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</calcChain>
</file>

<file path=xl/sharedStrings.xml><?xml version="1.0" encoding="utf-8"?>
<sst xmlns="http://schemas.openxmlformats.org/spreadsheetml/2006/main" count="108" uniqueCount="108">
  <si>
    <t>Path(['add_noise']A)</t>
  </si>
  <si>
    <t>Path(['add_noise']B)</t>
  </si>
  <si>
    <t>y=sin(πx_1)_1</t>
  </si>
  <si>
    <t>y=2(cos(πx_1))^2_23</t>
  </si>
  <si>
    <t>y=cos(πx_1)_57</t>
  </si>
  <si>
    <t>y=cos(πx_1)_91</t>
  </si>
  <si>
    <t>y=sqrt(x_1)_94</t>
  </si>
  <si>
    <t>y=2(cos(πcos(πx_1)))^2_17</t>
  </si>
  <si>
    <t>y=cos(π(x_1×x_1))_24</t>
  </si>
  <si>
    <t>y=cos(πx_1)_79</t>
  </si>
  <si>
    <t>y=sin(π(2(x_1)^2×x_1×sqrt(2(x_1)^2)×2(x_1)^2))_64</t>
  </si>
  <si>
    <t>y=cos(πsin(πx_1))_27</t>
  </si>
  <si>
    <t>y=sqrt(2(2(x_1)^2)^2)_52</t>
  </si>
  <si>
    <t>y=2(x_1)^2_78</t>
  </si>
  <si>
    <t>y=sqrt(x_1)_67</t>
  </si>
  <si>
    <t>y=sin(π(x_1×x_1×x_1×x_1))_68</t>
  </si>
  <si>
    <t>y=sqrt(x_1)_4</t>
  </si>
  <si>
    <t>y=cos(πx_1)_10</t>
  </si>
  <si>
    <t>y=2(sin(πx_1))^2_92</t>
  </si>
  <si>
    <t>y=cos(πcos(πx_1))_50</t>
  </si>
  <si>
    <t>y=cos(πx_1)_2</t>
  </si>
  <si>
    <t>y=2(cos(πx_1))^2_48</t>
  </si>
  <si>
    <t>y=cos(πx_1)_51</t>
  </si>
  <si>
    <t>y=2(x_1)^2_53</t>
  </si>
  <si>
    <t>y=sin(πx_1)_6</t>
  </si>
  <si>
    <t>y=cos(πx_1)_19</t>
  </si>
  <si>
    <t>y=cos(πx_1)_31</t>
  </si>
  <si>
    <t>y=sin(πx_1)_87</t>
  </si>
  <si>
    <t>y=cos(πsin(πx_1))_30</t>
  </si>
  <si>
    <t>y=cos(πcos(πx_1))_9</t>
  </si>
  <si>
    <t>y=cos(πx_1)_74</t>
  </si>
  <si>
    <t>y=2(x_1)^2_85</t>
  </si>
  <si>
    <t>y=cos(πsqrt(x_1))_40</t>
  </si>
  <si>
    <t>y=sin(πx_1)_97</t>
  </si>
  <si>
    <t>y=sin(πx_1)_86</t>
  </si>
  <si>
    <t>y=sin(πcos(πx_1))_77</t>
  </si>
  <si>
    <t>y=cos(πcos(πx_1))_35</t>
  </si>
  <si>
    <t>y=cos(πx_1)_70</t>
  </si>
  <si>
    <t>y=sin(πx_1)_26</t>
  </si>
  <si>
    <t>y=2(cos(πcos(πx_1)))^2_45</t>
  </si>
  <si>
    <t>y=cos(πsin(πx_1))_73</t>
  </si>
  <si>
    <t>y=2(2(x_1)^2)^2_71</t>
  </si>
  <si>
    <t>y=2(x_1)^2_33</t>
  </si>
  <si>
    <t>y=2(sin(πx_1))^2_0</t>
  </si>
  <si>
    <t>y=2(sqrt(x_1))^2_63</t>
  </si>
  <si>
    <t>y=2(x_1)^2_69</t>
  </si>
  <si>
    <t>y=cos(πsin(πx_1))_13</t>
  </si>
  <si>
    <t>y=2(x_1)^2_89</t>
  </si>
  <si>
    <t>y=cos(πx_1)_32</t>
  </si>
  <si>
    <t>y=sqrt(x_1)_43</t>
  </si>
  <si>
    <t>y=sqrt(sqrt(x_1))_81</t>
  </si>
  <si>
    <t>y=cos(πx_1)_14</t>
  </si>
  <si>
    <t>PersonR2(['add_noise']A, B)</t>
  </si>
  <si>
    <t>DPLS_R2(['add_noise']A, B)</t>
  </si>
  <si>
    <t>P(['add_noise']A, B)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</si>
  <si>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</si>
  <si>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</si>
  <si>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</si>
  <si>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</si>
  <si>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</si>
  <si>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</si>
  <si>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</si>
  <si>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</si>
  <si>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</si>
  <si>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</si>
  <si>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</si>
  <si>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</si>
  <si>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</si>
  <si>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</si>
  <si>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</si>
  <si>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</si>
  <si>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</si>
  <si>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</si>
  <si>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</si>
  <si>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</si>
  <si>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</si>
  <si>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</si>
  <si>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</si>
  <si>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</si>
  <si>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</si>
  <si>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</si>
  <si>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</si>
  <si>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</si>
  <si>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</si>
  <si>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</si>
  <si>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</si>
  <si>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</si>
  <si>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</si>
  <si>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</si>
  <si>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</si>
  <si>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</si>
  <si>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</si>
  <si>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</si>
  <si>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</si>
  <si>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</si>
  <si>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</si>
  <si>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</si>
  <si>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</si>
  <si>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</si>
  <si>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</si>
  <si>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</si>
  <si>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</si>
  <si>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</si>
  <si>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</si>
  <si>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</si>
  <si>
    <t>PathA&gt;PathB</t>
  </si>
  <si>
    <t>IF(D-F&lt;0.1, 1,0)</t>
  </si>
  <si>
    <t>IF(OR(AND(I=0,B&gt;C),AND(I=1,B&lt;C)),1,0)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</si>
</sst>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D61" workbookViewId="0">
      <selection activeCell="E56" sqref="E56"/>
    </sheetView>
  </sheetViews>
  <sheetFormatPr defaultRowHeight="14.5" x14ac:dyDescent="0.35"/>
  <cols>
    <col min="1" max="1" width="44.6328125" bestFit="1" customWidth="1"/>
    <col min="2" max="2" width="18.1796875" bestFit="1" customWidth="1"/>
    <col min="3" max="3" width="18.08984375" bestFit="1" customWidth="1"/>
    <col min="4" max="4" width="23.6328125" bestFit="1" customWidth="1"/>
    <col min="5" max="5" width="17.453125" bestFit="1" customWidth="1"/>
    <col min="6" max="6" width="24.36328125" bestFit="1" customWidth="1"/>
    <col min="8" max="8" width="12.08984375" customWidth="1"/>
    <col min="9" max="9" width="19.08984375" customWidth="1"/>
    <col min="10" max="10" width="36.26953125" customWidth="1"/>
  </cols>
  <sheetData>
    <row r="1" spans="1:10" x14ac:dyDescent="0.35">
      <c r="H1">
        <f>SUM(H3:H102)</f>
        <v>59</v>
      </c>
      <c r="I1">
        <f>SUM(I3:I102)</f>
        <v>50</v>
      </c>
      <c r="J1">
        <f>SUM(J3:J102)</f>
        <v>77</v>
      </c>
    </row>
    <row r="2" spans="1:10" x14ac:dyDescent="0.35">
      <c r="B2" s="1" t="s">
        <v>0</v>
      </c>
      <c r="C2" s="1" t="s">
        <v>1</v>
      </c>
      <c r="D2" s="1" t="s">
        <v>53</v>
      </c>
      <c r="E2" s="1" t="s">
        <v>54</v>
      </c>
      <c r="F2" s="1" t="s">
        <v>52</v>
      </c>
      <c r="H2" s="2" t="s">
        <v>105</v>
      </c>
      <c r="I2" s="2" t="s">
        <v>106</v>
      </c>
      <c r="J2" s="2" t="s">
        <v>107</v>
      </c>
    </row>
    <row r="3" spans="1:10" x14ac:dyDescent="0.35">
      <c r="A3" s="1" t="s">
        <v>2</v>
      </c>
      <c r="B3">
        <v>187.31162416000001</v>
      </c>
      <c r="C3">
        <v>189.62543543472131</v>
      </c>
      <c r="D3">
        <v>0.80308587360598394</v>
      </c>
      <c r="E3">
        <v>5</v>
      </c>
      <c r="F3">
        <v>0.50782614245655178</v>
      </c>
      <c r="H3">
        <f>IF(B3&gt;C3,1,0)</f>
        <v>0</v>
      </c>
      <c r="I3">
        <f>IF(D3-F3&lt;0.1, 1,0)</f>
        <v>0</v>
      </c>
      <c r="J3">
        <f>IF(OR(AND(I3=0,B3&gt;C3),AND(I3=1,B3&lt;C3)),1,0)</f>
        <v>0</v>
      </c>
    </row>
    <row r="4" spans="1:10" x14ac:dyDescent="0.35">
      <c r="A4" s="1" t="s">
        <v>3</v>
      </c>
      <c r="B4">
        <v>269.58470540000008</v>
      </c>
      <c r="C4">
        <v>158.72459974306011</v>
      </c>
      <c r="D4">
        <v>0.79851161568464835</v>
      </c>
      <c r="E4">
        <v>0</v>
      </c>
      <c r="F4">
        <v>4.841785146135061E-3</v>
      </c>
      <c r="H4">
        <f t="shared" ref="H4:H67" si="0">IF(B4&gt;C4,1,0)</f>
        <v>1</v>
      </c>
      <c r="I4">
        <f t="shared" ref="I4:I67" si="1">IF(D4-F4&lt;0.1, 1,0)</f>
        <v>0</v>
      </c>
      <c r="J4">
        <f t="shared" ref="J4:J67" si="2">IF(OR(AND(I4=0,B4&gt;C4),AND(I4=1,B4&lt;C4)),1,0)</f>
        <v>1</v>
      </c>
    </row>
    <row r="5" spans="1:10" x14ac:dyDescent="0.35">
      <c r="A5" s="1" t="s">
        <v>4</v>
      </c>
      <c r="B5">
        <v>293.46849501000003</v>
      </c>
      <c r="C5">
        <v>199.1128301973298</v>
      </c>
      <c r="D5">
        <v>0.80502528068532286</v>
      </c>
      <c r="E5">
        <v>2</v>
      </c>
      <c r="F5">
        <v>3.9414143712288522E-8</v>
      </c>
      <c r="H5">
        <f t="shared" si="0"/>
        <v>1</v>
      </c>
      <c r="I5">
        <f t="shared" si="1"/>
        <v>0</v>
      </c>
      <c r="J5">
        <f t="shared" si="2"/>
        <v>1</v>
      </c>
    </row>
    <row r="6" spans="1:10" x14ac:dyDescent="0.35">
      <c r="A6" s="1" t="s">
        <v>5</v>
      </c>
      <c r="B6">
        <v>281.0181584</v>
      </c>
      <c r="C6">
        <v>202.4796981455068</v>
      </c>
      <c r="D6">
        <v>0.80970038892664242</v>
      </c>
      <c r="E6">
        <v>6</v>
      </c>
      <c r="F6">
        <v>3.1613439999888312E-4</v>
      </c>
      <c r="H6">
        <f t="shared" si="0"/>
        <v>1</v>
      </c>
      <c r="I6">
        <f t="shared" si="1"/>
        <v>0</v>
      </c>
      <c r="J6">
        <f t="shared" si="2"/>
        <v>1</v>
      </c>
    </row>
    <row r="7" spans="1:10" x14ac:dyDescent="0.35">
      <c r="A7" s="1" t="s">
        <v>6</v>
      </c>
      <c r="B7">
        <v>272.58493103000001</v>
      </c>
      <c r="C7">
        <v>72.043897366789878</v>
      </c>
      <c r="D7">
        <v>0.80936870554624774</v>
      </c>
      <c r="E7">
        <v>8</v>
      </c>
      <c r="F7">
        <v>5.5691383608035202E-5</v>
      </c>
      <c r="H7">
        <f t="shared" si="0"/>
        <v>1</v>
      </c>
      <c r="I7">
        <f t="shared" si="1"/>
        <v>0</v>
      </c>
      <c r="J7">
        <f t="shared" si="2"/>
        <v>1</v>
      </c>
    </row>
    <row r="8" spans="1:10" x14ac:dyDescent="0.35">
      <c r="A8" s="1" t="s">
        <v>7</v>
      </c>
      <c r="B8">
        <v>284.61750281000002</v>
      </c>
      <c r="C8">
        <v>171.96816150865359</v>
      </c>
      <c r="D8">
        <v>0.8043593892956229</v>
      </c>
      <c r="E8">
        <v>0</v>
      </c>
      <c r="F8">
        <v>1.3042928444578219E-3</v>
      </c>
      <c r="H8">
        <f t="shared" si="0"/>
        <v>1</v>
      </c>
      <c r="I8">
        <f t="shared" si="1"/>
        <v>0</v>
      </c>
      <c r="J8">
        <f t="shared" si="2"/>
        <v>1</v>
      </c>
    </row>
    <row r="9" spans="1:10" x14ac:dyDescent="0.35">
      <c r="A9" s="1" t="s">
        <v>8</v>
      </c>
      <c r="B9">
        <v>290.76921521999998</v>
      </c>
      <c r="C9">
        <v>210.16995823846369</v>
      </c>
      <c r="D9">
        <v>0.81451678148554418</v>
      </c>
      <c r="E9">
        <v>2</v>
      </c>
      <c r="F9">
        <v>1.4330101956201451E-3</v>
      </c>
      <c r="H9">
        <f t="shared" si="0"/>
        <v>1</v>
      </c>
      <c r="I9">
        <f t="shared" si="1"/>
        <v>0</v>
      </c>
      <c r="J9">
        <f t="shared" si="2"/>
        <v>1</v>
      </c>
    </row>
    <row r="10" spans="1:10" x14ac:dyDescent="0.35">
      <c r="A10" s="1" t="s">
        <v>9</v>
      </c>
      <c r="B10">
        <v>282.09386833000002</v>
      </c>
      <c r="C10">
        <v>206.66542798408571</v>
      </c>
      <c r="D10">
        <v>0.80077216349411839</v>
      </c>
      <c r="E10">
        <v>4</v>
      </c>
      <c r="F10">
        <v>4.8319102296221471E-4</v>
      </c>
      <c r="H10">
        <f t="shared" si="0"/>
        <v>1</v>
      </c>
      <c r="I10">
        <f t="shared" si="1"/>
        <v>0</v>
      </c>
      <c r="J10">
        <f t="shared" si="2"/>
        <v>1</v>
      </c>
    </row>
    <row r="11" spans="1:10" x14ac:dyDescent="0.35">
      <c r="A11" s="1" t="s">
        <v>10</v>
      </c>
      <c r="B11">
        <v>197.12176249000001</v>
      </c>
      <c r="C11">
        <v>212.60241786345509</v>
      </c>
      <c r="D11">
        <v>0.80740080360629773</v>
      </c>
      <c r="E11">
        <v>3</v>
      </c>
      <c r="F11">
        <v>0.49592293935223131</v>
      </c>
      <c r="H11">
        <f t="shared" si="0"/>
        <v>0</v>
      </c>
      <c r="I11">
        <f t="shared" si="1"/>
        <v>0</v>
      </c>
      <c r="J11">
        <f t="shared" si="2"/>
        <v>0</v>
      </c>
    </row>
    <row r="12" spans="1:10" x14ac:dyDescent="0.35">
      <c r="A12" s="1" t="s">
        <v>11</v>
      </c>
      <c r="B12">
        <v>287.70213610000002</v>
      </c>
      <c r="C12">
        <v>191.3598855978382</v>
      </c>
      <c r="D12">
        <v>0.80014101311220764</v>
      </c>
      <c r="E12">
        <v>3</v>
      </c>
      <c r="F12">
        <v>1.2139824624705661E-4</v>
      </c>
      <c r="H12">
        <f t="shared" si="0"/>
        <v>1</v>
      </c>
      <c r="I12">
        <f t="shared" si="1"/>
        <v>0</v>
      </c>
      <c r="J12">
        <f t="shared" si="2"/>
        <v>1</v>
      </c>
    </row>
    <row r="13" spans="1:10" x14ac:dyDescent="0.35">
      <c r="A13" s="1" t="s">
        <v>12</v>
      </c>
      <c r="B13">
        <v>288.08152399000011</v>
      </c>
      <c r="C13">
        <v>67.238537438254554</v>
      </c>
      <c r="D13">
        <v>0.80090779887473296</v>
      </c>
      <c r="E13">
        <v>7</v>
      </c>
      <c r="F13">
        <v>4.2630001402952974E-3</v>
      </c>
      <c r="H13">
        <f t="shared" si="0"/>
        <v>1</v>
      </c>
      <c r="I13">
        <f t="shared" si="1"/>
        <v>0</v>
      </c>
      <c r="J13">
        <f t="shared" si="2"/>
        <v>1</v>
      </c>
    </row>
    <row r="14" spans="1:10" x14ac:dyDescent="0.35">
      <c r="A14" s="1" t="s">
        <v>13</v>
      </c>
      <c r="B14">
        <v>279.36090207000001</v>
      </c>
      <c r="C14">
        <v>161.11286152341731</v>
      </c>
      <c r="D14">
        <v>0.81595094460037809</v>
      </c>
      <c r="E14">
        <v>4</v>
      </c>
      <c r="F14">
        <v>8.8974909324726001E-3</v>
      </c>
      <c r="H14">
        <f t="shared" si="0"/>
        <v>1</v>
      </c>
      <c r="I14">
        <f t="shared" si="1"/>
        <v>0</v>
      </c>
      <c r="J14">
        <f t="shared" si="2"/>
        <v>1</v>
      </c>
    </row>
    <row r="15" spans="1:10" x14ac:dyDescent="0.35">
      <c r="A15" s="1" t="s">
        <v>14</v>
      </c>
      <c r="B15">
        <v>282.41315365999998</v>
      </c>
      <c r="C15">
        <v>65.067913693466664</v>
      </c>
      <c r="D15">
        <v>0.79618735418487963</v>
      </c>
      <c r="E15">
        <v>7</v>
      </c>
      <c r="F15">
        <v>4.8109019544655482E-4</v>
      </c>
      <c r="H15">
        <f t="shared" si="0"/>
        <v>1</v>
      </c>
      <c r="I15">
        <f t="shared" si="1"/>
        <v>0</v>
      </c>
      <c r="J15">
        <f t="shared" si="2"/>
        <v>1</v>
      </c>
    </row>
    <row r="16" spans="1:10" x14ac:dyDescent="0.35">
      <c r="A16" s="1" t="s">
        <v>15</v>
      </c>
      <c r="B16">
        <v>202.78800754</v>
      </c>
      <c r="C16">
        <v>203.3472313535967</v>
      </c>
      <c r="D16">
        <v>0.77395410970702094</v>
      </c>
      <c r="E16">
        <v>7</v>
      </c>
      <c r="F16">
        <v>0.43231111652388071</v>
      </c>
      <c r="H16">
        <f t="shared" si="0"/>
        <v>0</v>
      </c>
      <c r="I16">
        <f t="shared" si="1"/>
        <v>0</v>
      </c>
      <c r="J16">
        <f t="shared" si="2"/>
        <v>0</v>
      </c>
    </row>
    <row r="17" spans="1:10" x14ac:dyDescent="0.35">
      <c r="A17" s="1" t="s">
        <v>16</v>
      </c>
      <c r="B17">
        <v>300.93510257999998</v>
      </c>
      <c r="C17">
        <v>65.326289212487268</v>
      </c>
      <c r="D17">
        <v>0.81775226181951055</v>
      </c>
      <c r="E17">
        <v>7</v>
      </c>
      <c r="F17">
        <v>1.0940940761716849E-3</v>
      </c>
      <c r="H17">
        <f t="shared" si="0"/>
        <v>1</v>
      </c>
      <c r="I17">
        <f t="shared" si="1"/>
        <v>0</v>
      </c>
      <c r="J17">
        <f t="shared" si="2"/>
        <v>1</v>
      </c>
    </row>
    <row r="18" spans="1:10" x14ac:dyDescent="0.35">
      <c r="A18" s="1" t="s">
        <v>17</v>
      </c>
      <c r="B18">
        <v>277.76606321999998</v>
      </c>
      <c r="C18">
        <v>201.63628842683639</v>
      </c>
      <c r="D18">
        <v>0.80101454209485434</v>
      </c>
      <c r="E18">
        <v>2</v>
      </c>
      <c r="F18">
        <v>2.8609379506661591E-4</v>
      </c>
      <c r="H18">
        <f t="shared" si="0"/>
        <v>1</v>
      </c>
      <c r="I18">
        <f t="shared" si="1"/>
        <v>0</v>
      </c>
      <c r="J18">
        <f t="shared" si="2"/>
        <v>1</v>
      </c>
    </row>
    <row r="19" spans="1:10" x14ac:dyDescent="0.35">
      <c r="A19" s="1" t="s">
        <v>18</v>
      </c>
      <c r="B19">
        <v>282.63237371999998</v>
      </c>
      <c r="C19">
        <v>155.88156618596571</v>
      </c>
      <c r="D19">
        <v>0.79574570227916819</v>
      </c>
      <c r="E19">
        <v>4</v>
      </c>
      <c r="F19">
        <v>1.133556756758026E-2</v>
      </c>
      <c r="H19">
        <f t="shared" si="0"/>
        <v>1</v>
      </c>
      <c r="I19">
        <f t="shared" si="1"/>
        <v>0</v>
      </c>
      <c r="J19">
        <f t="shared" si="2"/>
        <v>1</v>
      </c>
    </row>
    <row r="20" spans="1:10" x14ac:dyDescent="0.35">
      <c r="A20" s="1" t="s">
        <v>19</v>
      </c>
      <c r="B20">
        <v>289.40582955999997</v>
      </c>
      <c r="C20">
        <v>203.63248350643539</v>
      </c>
      <c r="D20">
        <v>0.797328512239452</v>
      </c>
      <c r="E20">
        <v>2</v>
      </c>
      <c r="F20">
        <v>2.139104847173988E-4</v>
      </c>
      <c r="H20">
        <f t="shared" si="0"/>
        <v>1</v>
      </c>
      <c r="I20">
        <f t="shared" si="1"/>
        <v>0</v>
      </c>
      <c r="J20">
        <f t="shared" si="2"/>
        <v>1</v>
      </c>
    </row>
    <row r="21" spans="1:10" x14ac:dyDescent="0.35">
      <c r="A21" s="1" t="s">
        <v>20</v>
      </c>
      <c r="B21">
        <v>312.51009291999998</v>
      </c>
      <c r="C21">
        <v>196.94695164678089</v>
      </c>
      <c r="D21">
        <v>0.79165633216774678</v>
      </c>
      <c r="E21">
        <v>3</v>
      </c>
      <c r="F21">
        <v>1.6329025820108981E-4</v>
      </c>
      <c r="H21">
        <f t="shared" si="0"/>
        <v>1</v>
      </c>
      <c r="I21">
        <f t="shared" si="1"/>
        <v>0</v>
      </c>
      <c r="J21">
        <f t="shared" si="2"/>
        <v>1</v>
      </c>
    </row>
    <row r="22" spans="1:10" x14ac:dyDescent="0.35">
      <c r="A22" s="1" t="s">
        <v>21</v>
      </c>
      <c r="B22">
        <v>302.27103421999999</v>
      </c>
      <c r="C22">
        <v>158.67699593119201</v>
      </c>
      <c r="D22">
        <v>0.80511803520567538</v>
      </c>
      <c r="E22">
        <v>5</v>
      </c>
      <c r="F22">
        <v>2.2036067786050319E-3</v>
      </c>
      <c r="H22">
        <f t="shared" si="0"/>
        <v>1</v>
      </c>
      <c r="I22">
        <f t="shared" si="1"/>
        <v>0</v>
      </c>
      <c r="J22">
        <f t="shared" si="2"/>
        <v>1</v>
      </c>
    </row>
    <row r="23" spans="1:10" x14ac:dyDescent="0.35">
      <c r="A23" s="1" t="s">
        <v>22</v>
      </c>
      <c r="B23">
        <v>305.7813104</v>
      </c>
      <c r="C23">
        <v>196.09129596835629</v>
      </c>
      <c r="D23">
        <v>0.81440622299121368</v>
      </c>
      <c r="E23">
        <v>7</v>
      </c>
      <c r="F23">
        <v>2.5189799265067759E-4</v>
      </c>
      <c r="H23">
        <f t="shared" si="0"/>
        <v>1</v>
      </c>
      <c r="I23">
        <f t="shared" si="1"/>
        <v>0</v>
      </c>
      <c r="J23">
        <f t="shared" si="2"/>
        <v>1</v>
      </c>
    </row>
    <row r="24" spans="1:10" x14ac:dyDescent="0.35">
      <c r="A24" s="1" t="s">
        <v>23</v>
      </c>
      <c r="B24">
        <v>296.01451145999999</v>
      </c>
      <c r="C24">
        <v>176.9054271759087</v>
      </c>
      <c r="D24">
        <v>0.80364707807965918</v>
      </c>
      <c r="E24">
        <v>0</v>
      </c>
      <c r="F24">
        <v>6.2779788243396001E-3</v>
      </c>
      <c r="H24">
        <f t="shared" si="0"/>
        <v>1</v>
      </c>
      <c r="I24">
        <f t="shared" si="1"/>
        <v>0</v>
      </c>
      <c r="J24">
        <f t="shared" si="2"/>
        <v>1</v>
      </c>
    </row>
    <row r="25" spans="1:10" x14ac:dyDescent="0.35">
      <c r="A25" s="1" t="s">
        <v>24</v>
      </c>
      <c r="B25">
        <v>211.09949093</v>
      </c>
      <c r="C25">
        <v>206.25692237554131</v>
      </c>
      <c r="D25">
        <v>0.79646716060640188</v>
      </c>
      <c r="E25">
        <v>5</v>
      </c>
      <c r="F25">
        <v>0.43891400980616668</v>
      </c>
      <c r="H25">
        <f t="shared" si="0"/>
        <v>1</v>
      </c>
      <c r="I25">
        <f t="shared" si="1"/>
        <v>0</v>
      </c>
      <c r="J25">
        <f t="shared" si="2"/>
        <v>1</v>
      </c>
    </row>
    <row r="26" spans="1:10" x14ac:dyDescent="0.35">
      <c r="A26" s="1" t="s">
        <v>25</v>
      </c>
      <c r="B26">
        <v>266.79486949</v>
      </c>
      <c r="C26">
        <v>214.8390513175834</v>
      </c>
      <c r="D26">
        <v>0.79782688201252272</v>
      </c>
      <c r="E26">
        <v>3</v>
      </c>
      <c r="F26">
        <v>4.2334583560977154E-3</v>
      </c>
      <c r="H26">
        <f t="shared" si="0"/>
        <v>1</v>
      </c>
      <c r="I26">
        <f t="shared" si="1"/>
        <v>0</v>
      </c>
      <c r="J26">
        <f t="shared" si="2"/>
        <v>1</v>
      </c>
    </row>
    <row r="27" spans="1:10" x14ac:dyDescent="0.35">
      <c r="A27" s="1" t="s">
        <v>26</v>
      </c>
      <c r="B27">
        <v>264.26012365000003</v>
      </c>
      <c r="C27">
        <v>196.17127618757749</v>
      </c>
      <c r="D27">
        <v>0.77972286780886091</v>
      </c>
      <c r="E27">
        <v>2</v>
      </c>
      <c r="F27">
        <v>7.9143613165375784E-4</v>
      </c>
      <c r="H27">
        <f t="shared" si="0"/>
        <v>1</v>
      </c>
      <c r="I27">
        <f t="shared" si="1"/>
        <v>0</v>
      </c>
      <c r="J27">
        <f t="shared" si="2"/>
        <v>1</v>
      </c>
    </row>
    <row r="28" spans="1:10" x14ac:dyDescent="0.35">
      <c r="A28" s="1" t="s">
        <v>27</v>
      </c>
      <c r="B28">
        <v>193.57295078000001</v>
      </c>
      <c r="C28">
        <v>212.08425897703901</v>
      </c>
      <c r="D28">
        <v>0.79513071877365549</v>
      </c>
      <c r="E28">
        <v>6</v>
      </c>
      <c r="F28">
        <v>0.48111684444429859</v>
      </c>
      <c r="H28">
        <f t="shared" si="0"/>
        <v>0</v>
      </c>
      <c r="I28">
        <f t="shared" si="1"/>
        <v>0</v>
      </c>
      <c r="J28">
        <f t="shared" si="2"/>
        <v>0</v>
      </c>
    </row>
    <row r="29" spans="1:10" x14ac:dyDescent="0.35">
      <c r="A29" s="1" t="s">
        <v>28</v>
      </c>
      <c r="B29">
        <v>292.39419334000002</v>
      </c>
      <c r="C29">
        <v>183.00446678084089</v>
      </c>
      <c r="D29">
        <v>0.79924949816663537</v>
      </c>
      <c r="E29">
        <v>5</v>
      </c>
      <c r="F29">
        <v>1.4370955852445039E-2</v>
      </c>
      <c r="H29">
        <f t="shared" si="0"/>
        <v>1</v>
      </c>
      <c r="I29">
        <f t="shared" si="1"/>
        <v>0</v>
      </c>
      <c r="J29">
        <f t="shared" si="2"/>
        <v>1</v>
      </c>
    </row>
    <row r="30" spans="1:10" x14ac:dyDescent="0.35">
      <c r="A30" s="1" t="s">
        <v>29</v>
      </c>
      <c r="B30">
        <v>289.77471853999998</v>
      </c>
      <c r="C30">
        <v>201.52271925314091</v>
      </c>
      <c r="D30">
        <v>0.77739981998066943</v>
      </c>
      <c r="E30">
        <v>3</v>
      </c>
      <c r="F30">
        <v>5.8217528418719807E-4</v>
      </c>
      <c r="H30">
        <f t="shared" si="0"/>
        <v>1</v>
      </c>
      <c r="I30">
        <f t="shared" si="1"/>
        <v>0</v>
      </c>
      <c r="J30">
        <f t="shared" si="2"/>
        <v>1</v>
      </c>
    </row>
    <row r="31" spans="1:10" x14ac:dyDescent="0.35">
      <c r="A31" s="1" t="s">
        <v>30</v>
      </c>
      <c r="B31">
        <v>286.07899419</v>
      </c>
      <c r="C31">
        <v>203.01445226493411</v>
      </c>
      <c r="D31">
        <v>0.80021430465918875</v>
      </c>
      <c r="E31">
        <v>2</v>
      </c>
      <c r="F31">
        <v>2.3397149611565698E-3</v>
      </c>
      <c r="H31">
        <f t="shared" si="0"/>
        <v>1</v>
      </c>
      <c r="I31">
        <f t="shared" si="1"/>
        <v>0</v>
      </c>
      <c r="J31">
        <f t="shared" si="2"/>
        <v>1</v>
      </c>
    </row>
    <row r="32" spans="1:10" x14ac:dyDescent="0.35">
      <c r="A32" s="1" t="s">
        <v>31</v>
      </c>
      <c r="B32">
        <v>307.07073272999997</v>
      </c>
      <c r="C32">
        <v>180.73668861780939</v>
      </c>
      <c r="D32">
        <v>0.78185802460192488</v>
      </c>
      <c r="E32">
        <v>7</v>
      </c>
      <c r="F32">
        <v>2.2901530740138099E-4</v>
      </c>
      <c r="H32">
        <f t="shared" si="0"/>
        <v>1</v>
      </c>
      <c r="I32">
        <f t="shared" si="1"/>
        <v>0</v>
      </c>
      <c r="J32">
        <f t="shared" si="2"/>
        <v>1</v>
      </c>
    </row>
    <row r="33" spans="1:10" x14ac:dyDescent="0.35">
      <c r="A33" s="1" t="s">
        <v>32</v>
      </c>
      <c r="B33">
        <v>281.71872146999999</v>
      </c>
      <c r="C33">
        <v>207.38763237026589</v>
      </c>
      <c r="D33">
        <v>0.81345248205752774</v>
      </c>
      <c r="E33">
        <v>4</v>
      </c>
      <c r="F33">
        <v>5.8793159564545395E-4</v>
      </c>
      <c r="H33">
        <f t="shared" si="0"/>
        <v>1</v>
      </c>
      <c r="I33">
        <f t="shared" si="1"/>
        <v>0</v>
      </c>
      <c r="J33">
        <f t="shared" si="2"/>
        <v>1</v>
      </c>
    </row>
    <row r="34" spans="1:10" x14ac:dyDescent="0.35">
      <c r="A34" s="1" t="s">
        <v>33</v>
      </c>
      <c r="B34">
        <v>181.63411858000001</v>
      </c>
      <c r="C34">
        <v>194.65295053195709</v>
      </c>
      <c r="D34">
        <v>0.80730767974037754</v>
      </c>
      <c r="E34">
        <v>5</v>
      </c>
      <c r="F34">
        <v>0.53064600707863152</v>
      </c>
      <c r="H34">
        <f t="shared" si="0"/>
        <v>0</v>
      </c>
      <c r="I34">
        <f t="shared" si="1"/>
        <v>0</v>
      </c>
      <c r="J34">
        <f t="shared" si="2"/>
        <v>0</v>
      </c>
    </row>
    <row r="35" spans="1:10" x14ac:dyDescent="0.35">
      <c r="A35" s="1" t="s">
        <v>34</v>
      </c>
      <c r="B35">
        <v>193.91812969</v>
      </c>
      <c r="C35">
        <v>202.36957030576249</v>
      </c>
      <c r="D35">
        <v>0.78345791788831076</v>
      </c>
      <c r="E35">
        <v>7</v>
      </c>
      <c r="F35">
        <v>0.52048078242362239</v>
      </c>
      <c r="H35">
        <f t="shared" si="0"/>
        <v>0</v>
      </c>
      <c r="I35">
        <f t="shared" si="1"/>
        <v>0</v>
      </c>
      <c r="J35">
        <f t="shared" si="2"/>
        <v>0</v>
      </c>
    </row>
    <row r="36" spans="1:10" x14ac:dyDescent="0.35">
      <c r="A36" s="1" t="s">
        <v>35</v>
      </c>
      <c r="B36">
        <v>193.81609761000001</v>
      </c>
      <c r="C36">
        <v>212.02582445695239</v>
      </c>
      <c r="D36">
        <v>0.81928901763321293</v>
      </c>
      <c r="E36">
        <v>6</v>
      </c>
      <c r="F36">
        <v>0.50662878450726101</v>
      </c>
      <c r="H36">
        <f t="shared" si="0"/>
        <v>0</v>
      </c>
      <c r="I36">
        <f t="shared" si="1"/>
        <v>0</v>
      </c>
      <c r="J36">
        <f t="shared" si="2"/>
        <v>0</v>
      </c>
    </row>
    <row r="37" spans="1:10" x14ac:dyDescent="0.35">
      <c r="A37" s="1" t="s">
        <v>36</v>
      </c>
      <c r="B37">
        <v>284.83071017999998</v>
      </c>
      <c r="C37">
        <v>213.18302576964041</v>
      </c>
      <c r="D37">
        <v>0.78851303088037228</v>
      </c>
      <c r="E37">
        <v>2</v>
      </c>
      <c r="F37">
        <v>7.5859493885882378E-3</v>
      </c>
      <c r="H37">
        <f t="shared" si="0"/>
        <v>1</v>
      </c>
      <c r="I37">
        <f t="shared" si="1"/>
        <v>0</v>
      </c>
      <c r="J37">
        <f t="shared" si="2"/>
        <v>1</v>
      </c>
    </row>
    <row r="38" spans="1:10" x14ac:dyDescent="0.35">
      <c r="A38" s="1" t="s">
        <v>37</v>
      </c>
      <c r="B38">
        <v>291.12669856000002</v>
      </c>
      <c r="C38">
        <v>185.94620458256611</v>
      </c>
      <c r="D38">
        <v>0.78632985806660449</v>
      </c>
      <c r="E38">
        <v>4</v>
      </c>
      <c r="F38">
        <v>4.6758454331116269E-3</v>
      </c>
      <c r="H38">
        <f t="shared" si="0"/>
        <v>1</v>
      </c>
      <c r="I38">
        <f t="shared" si="1"/>
        <v>0</v>
      </c>
      <c r="J38">
        <f t="shared" si="2"/>
        <v>1</v>
      </c>
    </row>
    <row r="39" spans="1:10" x14ac:dyDescent="0.35">
      <c r="A39" s="1" t="s">
        <v>38</v>
      </c>
      <c r="B39">
        <v>196.87531634000001</v>
      </c>
      <c r="C39">
        <v>193.10325334933989</v>
      </c>
      <c r="D39">
        <v>0.80149131294934106</v>
      </c>
      <c r="E39">
        <v>5</v>
      </c>
      <c r="F39">
        <v>0.48048444164450599</v>
      </c>
      <c r="H39">
        <f t="shared" si="0"/>
        <v>1</v>
      </c>
      <c r="I39">
        <f t="shared" si="1"/>
        <v>0</v>
      </c>
      <c r="J39">
        <f t="shared" si="2"/>
        <v>1</v>
      </c>
    </row>
    <row r="40" spans="1:10" x14ac:dyDescent="0.35">
      <c r="A40" s="1" t="s">
        <v>39</v>
      </c>
      <c r="B40">
        <v>305.75011180000001</v>
      </c>
      <c r="C40">
        <v>184.0451301673165</v>
      </c>
      <c r="D40">
        <v>0.798870933521862</v>
      </c>
      <c r="E40">
        <v>0</v>
      </c>
      <c r="F40">
        <v>2.6194626431977228E-4</v>
      </c>
      <c r="H40">
        <f t="shared" si="0"/>
        <v>1</v>
      </c>
      <c r="I40">
        <f t="shared" si="1"/>
        <v>0</v>
      </c>
      <c r="J40">
        <f t="shared" si="2"/>
        <v>1</v>
      </c>
    </row>
    <row r="41" spans="1:10" x14ac:dyDescent="0.35">
      <c r="A41" s="1" t="s">
        <v>40</v>
      </c>
      <c r="B41">
        <v>288.89345573999998</v>
      </c>
      <c r="C41">
        <v>190.00326122441831</v>
      </c>
      <c r="D41">
        <v>0.80705639686001884</v>
      </c>
      <c r="E41">
        <v>4</v>
      </c>
      <c r="F41">
        <v>1.5120860701331709E-3</v>
      </c>
      <c r="H41">
        <f t="shared" si="0"/>
        <v>1</v>
      </c>
      <c r="I41">
        <f t="shared" si="1"/>
        <v>0</v>
      </c>
      <c r="J41">
        <f t="shared" si="2"/>
        <v>1</v>
      </c>
    </row>
    <row r="42" spans="1:10" x14ac:dyDescent="0.35">
      <c r="A42" s="1" t="s">
        <v>41</v>
      </c>
      <c r="B42">
        <v>265.6736659</v>
      </c>
      <c r="C42">
        <v>163.7763295712862</v>
      </c>
      <c r="D42">
        <v>0.77822634021606474</v>
      </c>
      <c r="E42">
        <v>4</v>
      </c>
      <c r="F42">
        <v>3.1475327083298278E-5</v>
      </c>
      <c r="H42">
        <f t="shared" si="0"/>
        <v>1</v>
      </c>
      <c r="I42">
        <f t="shared" si="1"/>
        <v>0</v>
      </c>
      <c r="J42">
        <f t="shared" si="2"/>
        <v>1</v>
      </c>
    </row>
    <row r="43" spans="1:10" x14ac:dyDescent="0.35">
      <c r="A43" s="1" t="s">
        <v>42</v>
      </c>
      <c r="B43">
        <v>292.66587721000002</v>
      </c>
      <c r="C43">
        <v>184.16062651535211</v>
      </c>
      <c r="D43">
        <v>0.78722065954835696</v>
      </c>
      <c r="E43">
        <v>0</v>
      </c>
      <c r="F43">
        <v>1.4739607251683941E-5</v>
      </c>
      <c r="H43">
        <f t="shared" si="0"/>
        <v>1</v>
      </c>
      <c r="I43">
        <f t="shared" si="1"/>
        <v>0</v>
      </c>
      <c r="J43">
        <f t="shared" si="2"/>
        <v>1</v>
      </c>
    </row>
    <row r="44" spans="1:10" x14ac:dyDescent="0.35">
      <c r="A44" s="1" t="s">
        <v>43</v>
      </c>
      <c r="B44">
        <v>277.72731448000002</v>
      </c>
      <c r="C44">
        <v>177.13625250188301</v>
      </c>
      <c r="D44">
        <v>0.80928102398080282</v>
      </c>
      <c r="E44">
        <v>0</v>
      </c>
      <c r="F44">
        <v>3.0552605473044769E-4</v>
      </c>
      <c r="H44">
        <f t="shared" si="0"/>
        <v>1</v>
      </c>
      <c r="I44">
        <f t="shared" si="1"/>
        <v>0</v>
      </c>
      <c r="J44">
        <f t="shared" si="2"/>
        <v>1</v>
      </c>
    </row>
    <row r="45" spans="1:10" x14ac:dyDescent="0.35">
      <c r="A45" s="1" t="s">
        <v>44</v>
      </c>
      <c r="B45">
        <v>286.70902382000003</v>
      </c>
      <c r="C45">
        <v>170.65834460825261</v>
      </c>
      <c r="D45">
        <v>0.78533979785512953</v>
      </c>
      <c r="E45">
        <v>0</v>
      </c>
      <c r="F45">
        <v>4.4803305393367222E-3</v>
      </c>
      <c r="H45">
        <f t="shared" si="0"/>
        <v>1</v>
      </c>
      <c r="I45">
        <f t="shared" si="1"/>
        <v>0</v>
      </c>
      <c r="J45">
        <f t="shared" si="2"/>
        <v>1</v>
      </c>
    </row>
    <row r="46" spans="1:10" x14ac:dyDescent="0.35">
      <c r="A46" s="1" t="s">
        <v>45</v>
      </c>
      <c r="B46">
        <v>270.74526715000002</v>
      </c>
      <c r="C46">
        <v>165.76793913215511</v>
      </c>
      <c r="D46">
        <v>0.81560140395803649</v>
      </c>
      <c r="E46">
        <v>7</v>
      </c>
      <c r="F46">
        <v>1.9680872020469739E-2</v>
      </c>
      <c r="H46">
        <f t="shared" si="0"/>
        <v>1</v>
      </c>
      <c r="I46">
        <f t="shared" si="1"/>
        <v>0</v>
      </c>
      <c r="J46">
        <f t="shared" si="2"/>
        <v>1</v>
      </c>
    </row>
    <row r="47" spans="1:10" x14ac:dyDescent="0.35">
      <c r="A47" s="1" t="s">
        <v>46</v>
      </c>
      <c r="B47">
        <v>256.39812325000003</v>
      </c>
      <c r="C47">
        <v>196.6167673485144</v>
      </c>
      <c r="D47">
        <v>0.77873830452666937</v>
      </c>
      <c r="E47">
        <v>2</v>
      </c>
      <c r="F47">
        <v>1.415420412634123E-3</v>
      </c>
      <c r="H47">
        <f t="shared" si="0"/>
        <v>1</v>
      </c>
      <c r="I47">
        <f t="shared" si="1"/>
        <v>0</v>
      </c>
      <c r="J47">
        <f t="shared" si="2"/>
        <v>1</v>
      </c>
    </row>
    <row r="48" spans="1:10" x14ac:dyDescent="0.35">
      <c r="A48" s="1" t="s">
        <v>47</v>
      </c>
      <c r="B48">
        <v>283.03712732999998</v>
      </c>
      <c r="C48">
        <v>168.0237347696503</v>
      </c>
      <c r="D48">
        <v>0.80520749733529717</v>
      </c>
      <c r="E48">
        <v>0</v>
      </c>
      <c r="F48">
        <v>6.2082546427204776E-4</v>
      </c>
      <c r="H48">
        <f t="shared" si="0"/>
        <v>1</v>
      </c>
      <c r="I48">
        <f t="shared" si="1"/>
        <v>0</v>
      </c>
      <c r="J48">
        <f t="shared" si="2"/>
        <v>1</v>
      </c>
    </row>
    <row r="49" spans="1:10" x14ac:dyDescent="0.35">
      <c r="A49" s="1" t="s">
        <v>48</v>
      </c>
      <c r="B49">
        <v>283.06289350999998</v>
      </c>
      <c r="C49">
        <v>209.42946439605379</v>
      </c>
      <c r="D49">
        <v>0.80327649976569693</v>
      </c>
      <c r="E49">
        <v>3</v>
      </c>
      <c r="F49">
        <v>4.4761153046369521E-3</v>
      </c>
      <c r="H49">
        <f t="shared" si="0"/>
        <v>1</v>
      </c>
      <c r="I49">
        <f t="shared" si="1"/>
        <v>0</v>
      </c>
      <c r="J49">
        <f t="shared" si="2"/>
        <v>1</v>
      </c>
    </row>
    <row r="50" spans="1:10" x14ac:dyDescent="0.35">
      <c r="A50" s="1" t="s">
        <v>49</v>
      </c>
      <c r="B50">
        <v>281.62350497</v>
      </c>
      <c r="C50">
        <v>67.32679804135654</v>
      </c>
      <c r="D50">
        <v>0.81176051254201098</v>
      </c>
      <c r="E50">
        <v>8</v>
      </c>
      <c r="F50">
        <v>1.411681520334008E-3</v>
      </c>
      <c r="H50">
        <f t="shared" si="0"/>
        <v>1</v>
      </c>
      <c r="I50">
        <f t="shared" si="1"/>
        <v>0</v>
      </c>
      <c r="J50">
        <f t="shared" si="2"/>
        <v>1</v>
      </c>
    </row>
    <row r="51" spans="1:10" x14ac:dyDescent="0.35">
      <c r="A51" s="1" t="s">
        <v>50</v>
      </c>
      <c r="B51">
        <v>287.12628727999999</v>
      </c>
      <c r="C51">
        <v>60.473357950448978</v>
      </c>
      <c r="D51">
        <v>0.79880568281553022</v>
      </c>
      <c r="E51">
        <v>10</v>
      </c>
      <c r="F51">
        <v>2.4832991285570491E-3</v>
      </c>
      <c r="H51">
        <f t="shared" si="0"/>
        <v>1</v>
      </c>
      <c r="I51">
        <f t="shared" si="1"/>
        <v>0</v>
      </c>
      <c r="J51">
        <f t="shared" si="2"/>
        <v>1</v>
      </c>
    </row>
    <row r="52" spans="1:10" x14ac:dyDescent="0.35">
      <c r="A52" s="1" t="s">
        <v>51</v>
      </c>
      <c r="B52">
        <v>300.34208437000001</v>
      </c>
      <c r="C52">
        <v>193.65223628629431</v>
      </c>
      <c r="D52">
        <v>0.79208906042226246</v>
      </c>
      <c r="E52">
        <v>4</v>
      </c>
      <c r="F52">
        <v>1.4754066060517609E-3</v>
      </c>
      <c r="H52">
        <f t="shared" si="0"/>
        <v>1</v>
      </c>
      <c r="I52">
        <f t="shared" si="1"/>
        <v>0</v>
      </c>
      <c r="J52">
        <f t="shared" si="2"/>
        <v>1</v>
      </c>
    </row>
    <row r="53" spans="1:10" x14ac:dyDescent="0.35">
      <c r="A53" s="1" t="s">
        <v>55</v>
      </c>
      <c r="B53">
        <v>130.80599673</v>
      </c>
      <c r="C53">
        <v>199.30649887722029</v>
      </c>
      <c r="D53">
        <v>0.81645983918102993</v>
      </c>
      <c r="E53">
        <v>3</v>
      </c>
      <c r="F53">
        <v>0.82140848102867536</v>
      </c>
      <c r="H53">
        <f t="shared" si="0"/>
        <v>0</v>
      </c>
      <c r="I53">
        <f t="shared" si="1"/>
        <v>1</v>
      </c>
      <c r="J53">
        <f t="shared" si="2"/>
        <v>1</v>
      </c>
    </row>
    <row r="54" spans="1:10" x14ac:dyDescent="0.35">
      <c r="A54" s="1" t="s">
        <v>56</v>
      </c>
      <c r="B54">
        <v>128.57728438000001</v>
      </c>
      <c r="C54">
        <v>34.058957293660868</v>
      </c>
      <c r="D54">
        <v>0.79951670854510015</v>
      </c>
      <c r="E54">
        <v>8</v>
      </c>
      <c r="F54">
        <v>0.82232449458278534</v>
      </c>
      <c r="H54">
        <f t="shared" si="0"/>
        <v>1</v>
      </c>
      <c r="I54">
        <f t="shared" si="1"/>
        <v>1</v>
      </c>
      <c r="J54">
        <f t="shared" si="2"/>
        <v>0</v>
      </c>
    </row>
    <row r="55" spans="1:10" x14ac:dyDescent="0.35">
      <c r="A55" s="1" t="s">
        <v>57</v>
      </c>
      <c r="B55">
        <v>138.70530683999999</v>
      </c>
      <c r="C55">
        <v>474.18129723601328</v>
      </c>
      <c r="D55">
        <v>0.79985368999065676</v>
      </c>
      <c r="E55">
        <v>3</v>
      </c>
      <c r="F55">
        <v>0.81289371668650501</v>
      </c>
      <c r="H55">
        <f t="shared" si="0"/>
        <v>0</v>
      </c>
      <c r="I55">
        <f t="shared" si="1"/>
        <v>1</v>
      </c>
      <c r="J55">
        <f t="shared" si="2"/>
        <v>1</v>
      </c>
    </row>
    <row r="56" spans="1:10" x14ac:dyDescent="0.35">
      <c r="A56" s="1" t="s">
        <v>58</v>
      </c>
      <c r="B56">
        <v>131.80945869000001</v>
      </c>
      <c r="C56">
        <v>76.495347601588904</v>
      </c>
      <c r="D56">
        <v>0.81878611541224378</v>
      </c>
      <c r="E56">
        <v>3</v>
      </c>
      <c r="F56">
        <v>0.81345175098542088</v>
      </c>
      <c r="H56">
        <f t="shared" si="0"/>
        <v>1</v>
      </c>
      <c r="I56">
        <f t="shared" si="1"/>
        <v>1</v>
      </c>
      <c r="J56">
        <f t="shared" si="2"/>
        <v>0</v>
      </c>
    </row>
    <row r="57" spans="1:10" x14ac:dyDescent="0.35">
      <c r="A57" s="1" t="s">
        <v>59</v>
      </c>
      <c r="B57">
        <v>129.84470881999999</v>
      </c>
      <c r="C57">
        <v>455.37435315606831</v>
      </c>
      <c r="D57">
        <v>0.80980226844244729</v>
      </c>
      <c r="E57">
        <v>4</v>
      </c>
      <c r="F57">
        <v>0.80689058380703804</v>
      </c>
      <c r="H57">
        <f t="shared" si="0"/>
        <v>0</v>
      </c>
      <c r="I57">
        <f t="shared" si="1"/>
        <v>1</v>
      </c>
      <c r="J57">
        <f t="shared" si="2"/>
        <v>1</v>
      </c>
    </row>
    <row r="58" spans="1:10" x14ac:dyDescent="0.35">
      <c r="A58" s="1" t="s">
        <v>60</v>
      </c>
      <c r="B58">
        <v>136.24485874000001</v>
      </c>
      <c r="C58">
        <v>26.657796255175921</v>
      </c>
      <c r="D58">
        <v>0.79737865795876006</v>
      </c>
      <c r="E58">
        <v>2</v>
      </c>
      <c r="F58">
        <v>0.79175400057774536</v>
      </c>
      <c r="H58">
        <f t="shared" si="0"/>
        <v>1</v>
      </c>
      <c r="I58">
        <f t="shared" si="1"/>
        <v>1</v>
      </c>
      <c r="J58">
        <f t="shared" si="2"/>
        <v>0</v>
      </c>
    </row>
    <row r="59" spans="1:10" x14ac:dyDescent="0.35">
      <c r="A59" s="1" t="s">
        <v>61</v>
      </c>
      <c r="B59">
        <v>145.40402037000001</v>
      </c>
      <c r="C59">
        <v>194.47476813286909</v>
      </c>
      <c r="D59">
        <v>0.80598154786630738</v>
      </c>
      <c r="E59">
        <v>5</v>
      </c>
      <c r="F59">
        <v>0.79073277165293643</v>
      </c>
      <c r="H59">
        <f t="shared" si="0"/>
        <v>0</v>
      </c>
      <c r="I59">
        <f t="shared" si="1"/>
        <v>1</v>
      </c>
      <c r="J59">
        <f t="shared" si="2"/>
        <v>1</v>
      </c>
    </row>
    <row r="60" spans="1:10" x14ac:dyDescent="0.35">
      <c r="A60" s="1" t="s">
        <v>62</v>
      </c>
      <c r="B60">
        <v>133.43222148999999</v>
      </c>
      <c r="C60">
        <v>69.036399593100867</v>
      </c>
      <c r="D60">
        <v>0.81333284623735258</v>
      </c>
      <c r="E60">
        <v>13</v>
      </c>
      <c r="F60">
        <v>0.81255343776785161</v>
      </c>
      <c r="H60">
        <f t="shared" si="0"/>
        <v>1</v>
      </c>
      <c r="I60">
        <f t="shared" si="1"/>
        <v>1</v>
      </c>
      <c r="J60">
        <f t="shared" si="2"/>
        <v>0</v>
      </c>
    </row>
    <row r="61" spans="1:10" x14ac:dyDescent="0.35">
      <c r="A61" s="1" t="s">
        <v>63</v>
      </c>
      <c r="B61">
        <v>132.58422035000001</v>
      </c>
      <c r="C61">
        <v>83.412036030363197</v>
      </c>
      <c r="D61">
        <v>0.8055299103901149</v>
      </c>
      <c r="E61">
        <v>4</v>
      </c>
      <c r="F61">
        <v>0.81092139338639702</v>
      </c>
      <c r="H61">
        <f t="shared" si="0"/>
        <v>1</v>
      </c>
      <c r="I61">
        <f t="shared" si="1"/>
        <v>1</v>
      </c>
      <c r="J61">
        <f t="shared" si="2"/>
        <v>0</v>
      </c>
    </row>
    <row r="62" spans="1:10" x14ac:dyDescent="0.35">
      <c r="A62" s="1" t="s">
        <v>64</v>
      </c>
      <c r="B62">
        <v>137.61220778000001</v>
      </c>
      <c r="C62">
        <v>233.99134000994781</v>
      </c>
      <c r="D62">
        <v>0.80792904929415765</v>
      </c>
      <c r="E62">
        <v>3</v>
      </c>
      <c r="F62">
        <v>0.80640615806839233</v>
      </c>
      <c r="H62">
        <f t="shared" si="0"/>
        <v>0</v>
      </c>
      <c r="I62">
        <f t="shared" si="1"/>
        <v>1</v>
      </c>
      <c r="J62">
        <f t="shared" si="2"/>
        <v>1</v>
      </c>
    </row>
    <row r="63" spans="1:10" x14ac:dyDescent="0.35">
      <c r="A63" s="1" t="s">
        <v>65</v>
      </c>
      <c r="B63">
        <v>132.81725523</v>
      </c>
      <c r="C63">
        <v>262.01964732300752</v>
      </c>
      <c r="D63">
        <v>0.78994326433325845</v>
      </c>
      <c r="E63">
        <v>3</v>
      </c>
      <c r="F63">
        <v>0.81564242670291331</v>
      </c>
      <c r="H63">
        <f t="shared" si="0"/>
        <v>0</v>
      </c>
      <c r="I63">
        <f t="shared" si="1"/>
        <v>1</v>
      </c>
      <c r="J63">
        <f t="shared" si="2"/>
        <v>1</v>
      </c>
    </row>
    <row r="64" spans="1:10" x14ac:dyDescent="0.35">
      <c r="A64" s="1" t="s">
        <v>66</v>
      </c>
      <c r="B64">
        <v>128.56423641000001</v>
      </c>
      <c r="C64">
        <v>144.1931437014253</v>
      </c>
      <c r="D64">
        <v>0.79612864124410809</v>
      </c>
      <c r="E64">
        <v>5</v>
      </c>
      <c r="F64">
        <v>0.81751003520098164</v>
      </c>
      <c r="H64">
        <f t="shared" si="0"/>
        <v>0</v>
      </c>
      <c r="I64">
        <f t="shared" si="1"/>
        <v>1</v>
      </c>
      <c r="J64">
        <f t="shared" si="2"/>
        <v>1</v>
      </c>
    </row>
    <row r="65" spans="1:10" x14ac:dyDescent="0.35">
      <c r="A65" s="1" t="s">
        <v>67</v>
      </c>
      <c r="B65">
        <v>136.95943267999999</v>
      </c>
      <c r="C65">
        <v>454.03076801805292</v>
      </c>
      <c r="D65">
        <v>0.81634725330048841</v>
      </c>
      <c r="E65">
        <v>5</v>
      </c>
      <c r="F65">
        <v>0.82039407689719612</v>
      </c>
      <c r="H65">
        <f t="shared" si="0"/>
        <v>0</v>
      </c>
      <c r="I65">
        <f t="shared" si="1"/>
        <v>1</v>
      </c>
      <c r="J65">
        <f t="shared" si="2"/>
        <v>1</v>
      </c>
    </row>
    <row r="66" spans="1:10" x14ac:dyDescent="0.35">
      <c r="A66" s="1" t="s">
        <v>68</v>
      </c>
      <c r="B66">
        <v>141.60724873000001</v>
      </c>
      <c r="C66">
        <v>123.2518615649311</v>
      </c>
      <c r="D66">
        <v>0.79806533710964656</v>
      </c>
      <c r="E66">
        <v>3</v>
      </c>
      <c r="F66">
        <v>0.79271426983542814</v>
      </c>
      <c r="H66">
        <f t="shared" si="0"/>
        <v>1</v>
      </c>
      <c r="I66">
        <f t="shared" si="1"/>
        <v>1</v>
      </c>
      <c r="J66">
        <f t="shared" si="2"/>
        <v>0</v>
      </c>
    </row>
    <row r="67" spans="1:10" x14ac:dyDescent="0.35">
      <c r="A67" s="1" t="s">
        <v>69</v>
      </c>
      <c r="B67">
        <v>130.3709891</v>
      </c>
      <c r="C67">
        <v>383.46542990417839</v>
      </c>
      <c r="D67">
        <v>0.79191914780370087</v>
      </c>
      <c r="E67">
        <v>4</v>
      </c>
      <c r="F67">
        <v>0.80748096768997391</v>
      </c>
      <c r="H67">
        <f t="shared" si="0"/>
        <v>0</v>
      </c>
      <c r="I67">
        <f t="shared" si="1"/>
        <v>1</v>
      </c>
      <c r="J67">
        <f t="shared" si="2"/>
        <v>1</v>
      </c>
    </row>
    <row r="68" spans="1:10" x14ac:dyDescent="0.35">
      <c r="A68" s="1" t="s">
        <v>70</v>
      </c>
      <c r="B68">
        <v>140.27241720000001</v>
      </c>
      <c r="C68">
        <v>374.53609275697818</v>
      </c>
      <c r="D68">
        <v>0.80716051190069971</v>
      </c>
      <c r="E68">
        <v>3</v>
      </c>
      <c r="F68">
        <v>0.792769252183958</v>
      </c>
      <c r="H68">
        <f t="shared" ref="H68:H102" si="3">IF(B68&gt;C68,1,0)</f>
        <v>0</v>
      </c>
      <c r="I68">
        <f t="shared" ref="I68:I102" si="4">IF(D68-F68&lt;0.1, 1,0)</f>
        <v>1</v>
      </c>
      <c r="J68">
        <f t="shared" ref="J68:J102" si="5">IF(OR(AND(I68=0,B68&gt;C68),AND(I68=1,B68&lt;C68)),1,0)</f>
        <v>1</v>
      </c>
    </row>
    <row r="69" spans="1:10" x14ac:dyDescent="0.35">
      <c r="A69" s="1" t="s">
        <v>71</v>
      </c>
      <c r="B69">
        <v>122.56166566</v>
      </c>
      <c r="C69">
        <v>63.443618019253719</v>
      </c>
      <c r="D69">
        <v>0.80787584405189339</v>
      </c>
      <c r="E69">
        <v>3</v>
      </c>
      <c r="F69">
        <v>0.82782536194386036</v>
      </c>
      <c r="H69">
        <f t="shared" si="3"/>
        <v>1</v>
      </c>
      <c r="I69">
        <f t="shared" si="4"/>
        <v>1</v>
      </c>
      <c r="J69">
        <f t="shared" si="5"/>
        <v>0</v>
      </c>
    </row>
    <row r="70" spans="1:10" x14ac:dyDescent="0.35">
      <c r="A70" s="1" t="s">
        <v>72</v>
      </c>
      <c r="B70">
        <v>131.21899479000001</v>
      </c>
      <c r="C70">
        <v>211.88850380292291</v>
      </c>
      <c r="D70">
        <v>0.81286534086564066</v>
      </c>
      <c r="E70">
        <v>6</v>
      </c>
      <c r="F70">
        <v>0.80558604739791662</v>
      </c>
      <c r="H70">
        <f t="shared" si="3"/>
        <v>0</v>
      </c>
      <c r="I70">
        <f t="shared" si="4"/>
        <v>1</v>
      </c>
      <c r="J70">
        <f t="shared" si="5"/>
        <v>1</v>
      </c>
    </row>
    <row r="71" spans="1:10" x14ac:dyDescent="0.35">
      <c r="A71" s="1" t="s">
        <v>73</v>
      </c>
      <c r="B71">
        <v>135.28557223999999</v>
      </c>
      <c r="C71">
        <v>385.6213548506787</v>
      </c>
      <c r="D71">
        <v>0.80203381895768999</v>
      </c>
      <c r="E71">
        <v>5</v>
      </c>
      <c r="F71">
        <v>0.81285544097197671</v>
      </c>
      <c r="H71">
        <f t="shared" si="3"/>
        <v>0</v>
      </c>
      <c r="I71">
        <f t="shared" si="4"/>
        <v>1</v>
      </c>
      <c r="J71">
        <f t="shared" si="5"/>
        <v>1</v>
      </c>
    </row>
    <row r="72" spans="1:10" x14ac:dyDescent="0.35">
      <c r="A72" s="1" t="s">
        <v>74</v>
      </c>
      <c r="B72">
        <v>137.92873384999999</v>
      </c>
      <c r="C72">
        <v>41.099112543159322</v>
      </c>
      <c r="D72">
        <v>0.82217007466539926</v>
      </c>
      <c r="E72">
        <v>8</v>
      </c>
      <c r="F72">
        <v>0.80862359435454745</v>
      </c>
      <c r="H72">
        <f t="shared" si="3"/>
        <v>1</v>
      </c>
      <c r="I72">
        <f t="shared" si="4"/>
        <v>1</v>
      </c>
      <c r="J72">
        <f t="shared" si="5"/>
        <v>0</v>
      </c>
    </row>
    <row r="73" spans="1:10" x14ac:dyDescent="0.35">
      <c r="A73" s="1" t="s">
        <v>75</v>
      </c>
      <c r="B73">
        <v>133.77124347</v>
      </c>
      <c r="C73">
        <v>459.72249708815559</v>
      </c>
      <c r="D73">
        <v>0.80829181650693072</v>
      </c>
      <c r="E73">
        <v>5</v>
      </c>
      <c r="F73">
        <v>0.81551274289167186</v>
      </c>
      <c r="H73">
        <f t="shared" si="3"/>
        <v>0</v>
      </c>
      <c r="I73">
        <f t="shared" si="4"/>
        <v>1</v>
      </c>
      <c r="J73">
        <f t="shared" si="5"/>
        <v>1</v>
      </c>
    </row>
    <row r="74" spans="1:10" x14ac:dyDescent="0.35">
      <c r="A74" s="1" t="s">
        <v>76</v>
      </c>
      <c r="B74">
        <v>128.85983436999999</v>
      </c>
      <c r="C74">
        <v>124.8083231413239</v>
      </c>
      <c r="D74">
        <v>0.7846309709499012</v>
      </c>
      <c r="E74">
        <v>3</v>
      </c>
      <c r="F74">
        <v>0.81329109873960448</v>
      </c>
      <c r="H74">
        <f t="shared" si="3"/>
        <v>1</v>
      </c>
      <c r="I74">
        <f t="shared" si="4"/>
        <v>1</v>
      </c>
      <c r="J74">
        <f t="shared" si="5"/>
        <v>0</v>
      </c>
    </row>
    <row r="75" spans="1:10" x14ac:dyDescent="0.35">
      <c r="A75" s="1" t="s">
        <v>77</v>
      </c>
      <c r="B75">
        <v>135.81836913000001</v>
      </c>
      <c r="C75">
        <v>247.3487676823612</v>
      </c>
      <c r="D75">
        <v>0.79260320840774223</v>
      </c>
      <c r="E75">
        <v>3</v>
      </c>
      <c r="F75">
        <v>0.78350582903308252</v>
      </c>
      <c r="H75">
        <f t="shared" si="3"/>
        <v>0</v>
      </c>
      <c r="I75">
        <f t="shared" si="4"/>
        <v>1</v>
      </c>
      <c r="J75">
        <f t="shared" si="5"/>
        <v>1</v>
      </c>
    </row>
    <row r="76" spans="1:10" x14ac:dyDescent="0.35">
      <c r="A76" s="1" t="s">
        <v>78</v>
      </c>
      <c r="B76">
        <v>142.91345011000001</v>
      </c>
      <c r="C76">
        <v>407.06120271475999</v>
      </c>
      <c r="D76">
        <v>0.80638306396293347</v>
      </c>
      <c r="E76">
        <v>6</v>
      </c>
      <c r="F76">
        <v>0.78149552116512266</v>
      </c>
      <c r="H76">
        <f t="shared" si="3"/>
        <v>0</v>
      </c>
      <c r="I76">
        <f t="shared" si="4"/>
        <v>1</v>
      </c>
      <c r="J76">
        <f t="shared" si="5"/>
        <v>1</v>
      </c>
    </row>
    <row r="77" spans="1:10" x14ac:dyDescent="0.35">
      <c r="A77" s="1" t="s">
        <v>79</v>
      </c>
      <c r="B77">
        <v>135.41771345000001</v>
      </c>
      <c r="C77">
        <v>377.15421618351928</v>
      </c>
      <c r="D77">
        <v>0.78976776390396253</v>
      </c>
      <c r="E77">
        <v>8</v>
      </c>
      <c r="F77">
        <v>0.81559646465003943</v>
      </c>
      <c r="H77">
        <f t="shared" si="3"/>
        <v>0</v>
      </c>
      <c r="I77">
        <f t="shared" si="4"/>
        <v>1</v>
      </c>
      <c r="J77">
        <f t="shared" si="5"/>
        <v>1</v>
      </c>
    </row>
    <row r="78" spans="1:10" x14ac:dyDescent="0.35">
      <c r="A78" s="1" t="s">
        <v>80</v>
      </c>
      <c r="B78">
        <v>143.4569055</v>
      </c>
      <c r="C78">
        <v>281.71417310201252</v>
      </c>
      <c r="D78">
        <v>0.79187385410499456</v>
      </c>
      <c r="E78">
        <v>3</v>
      </c>
      <c r="F78">
        <v>0.78288526042900985</v>
      </c>
      <c r="H78">
        <f t="shared" si="3"/>
        <v>0</v>
      </c>
      <c r="I78">
        <f t="shared" si="4"/>
        <v>1</v>
      </c>
      <c r="J78">
        <f t="shared" si="5"/>
        <v>1</v>
      </c>
    </row>
    <row r="79" spans="1:10" x14ac:dyDescent="0.35">
      <c r="A79" s="1" t="s">
        <v>81</v>
      </c>
      <c r="B79">
        <v>135.91500456</v>
      </c>
      <c r="C79">
        <v>239.4720172592022</v>
      </c>
      <c r="D79">
        <v>0.79800247110119815</v>
      </c>
      <c r="E79">
        <v>3</v>
      </c>
      <c r="F79">
        <v>0.80867135382466682</v>
      </c>
      <c r="H79">
        <f t="shared" si="3"/>
        <v>0</v>
      </c>
      <c r="I79">
        <f t="shared" si="4"/>
        <v>1</v>
      </c>
      <c r="J79">
        <f t="shared" si="5"/>
        <v>1</v>
      </c>
    </row>
    <row r="80" spans="1:10" x14ac:dyDescent="0.35">
      <c r="A80" s="1" t="s">
        <v>82</v>
      </c>
      <c r="B80">
        <v>140.17688132000001</v>
      </c>
      <c r="C80">
        <v>236.04428311269311</v>
      </c>
      <c r="D80">
        <v>0.78990051781151338</v>
      </c>
      <c r="E80">
        <v>3</v>
      </c>
      <c r="F80">
        <v>0.79578814418950128</v>
      </c>
      <c r="H80">
        <f t="shared" si="3"/>
        <v>0</v>
      </c>
      <c r="I80">
        <f t="shared" si="4"/>
        <v>1</v>
      </c>
      <c r="J80">
        <f t="shared" si="5"/>
        <v>1</v>
      </c>
    </row>
    <row r="81" spans="1:10" x14ac:dyDescent="0.35">
      <c r="A81" s="1" t="s">
        <v>83</v>
      </c>
      <c r="B81">
        <v>141.35117263000001</v>
      </c>
      <c r="C81">
        <v>55.678115824825767</v>
      </c>
      <c r="D81">
        <v>0.80170401789961498</v>
      </c>
      <c r="E81">
        <v>10</v>
      </c>
      <c r="F81">
        <v>0.79133928877432158</v>
      </c>
      <c r="H81">
        <f t="shared" si="3"/>
        <v>1</v>
      </c>
      <c r="I81">
        <f t="shared" si="4"/>
        <v>1</v>
      </c>
      <c r="J81">
        <f t="shared" si="5"/>
        <v>0</v>
      </c>
    </row>
    <row r="82" spans="1:10" x14ac:dyDescent="0.35">
      <c r="A82" s="1" t="s">
        <v>84</v>
      </c>
      <c r="B82">
        <v>145.12440404</v>
      </c>
      <c r="C82">
        <v>170.51496445511171</v>
      </c>
      <c r="D82">
        <v>0.77920600976328414</v>
      </c>
      <c r="E82">
        <v>5</v>
      </c>
      <c r="F82">
        <v>0.78372189882786847</v>
      </c>
      <c r="H82">
        <f t="shared" si="3"/>
        <v>0</v>
      </c>
      <c r="I82">
        <f t="shared" si="4"/>
        <v>1</v>
      </c>
      <c r="J82">
        <f t="shared" si="5"/>
        <v>1</v>
      </c>
    </row>
    <row r="83" spans="1:10" x14ac:dyDescent="0.35">
      <c r="A83" s="1" t="s">
        <v>85</v>
      </c>
      <c r="B83">
        <v>134.4894323</v>
      </c>
      <c r="C83">
        <v>319.70017815624482</v>
      </c>
      <c r="D83">
        <v>0.80593792444307044</v>
      </c>
      <c r="E83">
        <v>3</v>
      </c>
      <c r="F83">
        <v>0.80336101233267021</v>
      </c>
      <c r="H83">
        <f t="shared" si="3"/>
        <v>0</v>
      </c>
      <c r="I83">
        <f t="shared" si="4"/>
        <v>1</v>
      </c>
      <c r="J83">
        <f t="shared" si="5"/>
        <v>1</v>
      </c>
    </row>
    <row r="84" spans="1:10" x14ac:dyDescent="0.35">
      <c r="A84" s="1" t="s">
        <v>86</v>
      </c>
      <c r="B84">
        <v>141.10456404000001</v>
      </c>
      <c r="C84">
        <v>275.09783838591937</v>
      </c>
      <c r="D84">
        <v>0.79145116750083977</v>
      </c>
      <c r="E84">
        <v>5</v>
      </c>
      <c r="F84">
        <v>0.80101386887536496</v>
      </c>
      <c r="H84">
        <f t="shared" si="3"/>
        <v>0</v>
      </c>
      <c r="I84">
        <f t="shared" si="4"/>
        <v>1</v>
      </c>
      <c r="J84">
        <f t="shared" si="5"/>
        <v>1</v>
      </c>
    </row>
    <row r="85" spans="1:10" x14ac:dyDescent="0.35">
      <c r="A85" s="1" t="s">
        <v>87</v>
      </c>
      <c r="B85">
        <v>130.49766073000001</v>
      </c>
      <c r="C85">
        <v>255.138854532143</v>
      </c>
      <c r="D85">
        <v>0.79923591949387651</v>
      </c>
      <c r="E85">
        <v>3</v>
      </c>
      <c r="F85">
        <v>0.80764043432531651</v>
      </c>
      <c r="H85">
        <f t="shared" si="3"/>
        <v>0</v>
      </c>
      <c r="I85">
        <f t="shared" si="4"/>
        <v>1</v>
      </c>
      <c r="J85">
        <f t="shared" si="5"/>
        <v>1</v>
      </c>
    </row>
    <row r="86" spans="1:10" x14ac:dyDescent="0.35">
      <c r="A86" s="1" t="s">
        <v>88</v>
      </c>
      <c r="B86">
        <v>137.57171324999999</v>
      </c>
      <c r="C86">
        <v>208.44472202911251</v>
      </c>
      <c r="D86">
        <v>0.79623067782527002</v>
      </c>
      <c r="E86">
        <v>4</v>
      </c>
      <c r="F86">
        <v>0.79458020759475556</v>
      </c>
      <c r="H86">
        <f t="shared" si="3"/>
        <v>0</v>
      </c>
      <c r="I86">
        <f t="shared" si="4"/>
        <v>1</v>
      </c>
      <c r="J86">
        <f t="shared" si="5"/>
        <v>1</v>
      </c>
    </row>
    <row r="87" spans="1:10" x14ac:dyDescent="0.35">
      <c r="A87" s="1" t="s">
        <v>89</v>
      </c>
      <c r="B87">
        <v>150.10493045999999</v>
      </c>
      <c r="C87">
        <v>206.42492397201829</v>
      </c>
      <c r="D87">
        <v>0.81751272713133927</v>
      </c>
      <c r="E87">
        <v>7</v>
      </c>
      <c r="F87">
        <v>0.78495323344063006</v>
      </c>
      <c r="H87">
        <f t="shared" si="3"/>
        <v>0</v>
      </c>
      <c r="I87">
        <f t="shared" si="4"/>
        <v>1</v>
      </c>
      <c r="J87">
        <f t="shared" si="5"/>
        <v>1</v>
      </c>
    </row>
    <row r="88" spans="1:10" x14ac:dyDescent="0.35">
      <c r="A88" s="1" t="s">
        <v>90</v>
      </c>
      <c r="B88">
        <v>134.66133404000001</v>
      </c>
      <c r="C88">
        <v>16.470603746913</v>
      </c>
      <c r="D88">
        <v>0.80067098333748854</v>
      </c>
      <c r="E88">
        <v>5</v>
      </c>
      <c r="F88">
        <v>0.81135895860691987</v>
      </c>
      <c r="H88">
        <f t="shared" si="3"/>
        <v>1</v>
      </c>
      <c r="I88">
        <f t="shared" si="4"/>
        <v>1</v>
      </c>
      <c r="J88">
        <f t="shared" si="5"/>
        <v>0</v>
      </c>
    </row>
    <row r="89" spans="1:10" x14ac:dyDescent="0.35">
      <c r="A89" s="1" t="s">
        <v>91</v>
      </c>
      <c r="B89">
        <v>133.66401678</v>
      </c>
      <c r="C89">
        <v>251.06143585590431</v>
      </c>
      <c r="D89">
        <v>0.81119906023945143</v>
      </c>
      <c r="E89">
        <v>3</v>
      </c>
      <c r="F89">
        <v>0.80723350552094197</v>
      </c>
      <c r="H89">
        <f t="shared" si="3"/>
        <v>0</v>
      </c>
      <c r="I89">
        <f t="shared" si="4"/>
        <v>1</v>
      </c>
      <c r="J89">
        <f t="shared" si="5"/>
        <v>1</v>
      </c>
    </row>
    <row r="90" spans="1:10" x14ac:dyDescent="0.35">
      <c r="A90" s="1" t="s">
        <v>92</v>
      </c>
      <c r="B90">
        <v>133.44269421999999</v>
      </c>
      <c r="C90">
        <v>32.748704498756467</v>
      </c>
      <c r="D90">
        <v>0.79206845107443502</v>
      </c>
      <c r="E90">
        <v>8</v>
      </c>
      <c r="F90">
        <v>0.80378342310925788</v>
      </c>
      <c r="H90">
        <f t="shared" si="3"/>
        <v>1</v>
      </c>
      <c r="I90">
        <f t="shared" si="4"/>
        <v>1</v>
      </c>
      <c r="J90">
        <f t="shared" si="5"/>
        <v>0</v>
      </c>
    </row>
    <row r="91" spans="1:10" x14ac:dyDescent="0.35">
      <c r="A91" s="1" t="s">
        <v>93</v>
      </c>
      <c r="B91">
        <v>132.85877338</v>
      </c>
      <c r="C91">
        <v>258.16201863125042</v>
      </c>
      <c r="D91">
        <v>0.80173747665616546</v>
      </c>
      <c r="E91">
        <v>12</v>
      </c>
      <c r="F91">
        <v>0.8013922460327173</v>
      </c>
      <c r="H91">
        <f t="shared" si="3"/>
        <v>0</v>
      </c>
      <c r="I91">
        <f t="shared" si="4"/>
        <v>1</v>
      </c>
      <c r="J91">
        <f t="shared" si="5"/>
        <v>1</v>
      </c>
    </row>
    <row r="92" spans="1:10" x14ac:dyDescent="0.35">
      <c r="A92" s="1" t="s">
        <v>94</v>
      </c>
      <c r="B92">
        <v>144.56319110000001</v>
      </c>
      <c r="C92">
        <v>16.415489639855771</v>
      </c>
      <c r="D92">
        <v>0.80119137194812473</v>
      </c>
      <c r="E92">
        <v>12</v>
      </c>
      <c r="F92">
        <v>0.79330594636715723</v>
      </c>
      <c r="H92">
        <f t="shared" si="3"/>
        <v>1</v>
      </c>
      <c r="I92">
        <f t="shared" si="4"/>
        <v>1</v>
      </c>
      <c r="J92">
        <f t="shared" si="5"/>
        <v>0</v>
      </c>
    </row>
    <row r="93" spans="1:10" x14ac:dyDescent="0.35">
      <c r="A93" s="1" t="s">
        <v>95</v>
      </c>
      <c r="B93">
        <v>146.13799367999999</v>
      </c>
      <c r="C93">
        <v>113.30597773564909</v>
      </c>
      <c r="D93">
        <v>0.80456330394317765</v>
      </c>
      <c r="E93">
        <v>7</v>
      </c>
      <c r="F93">
        <v>0.78527218233349005</v>
      </c>
      <c r="H93">
        <f t="shared" si="3"/>
        <v>1</v>
      </c>
      <c r="I93">
        <f t="shared" si="4"/>
        <v>1</v>
      </c>
      <c r="J93">
        <f t="shared" si="5"/>
        <v>0</v>
      </c>
    </row>
    <row r="94" spans="1:10" x14ac:dyDescent="0.35">
      <c r="A94" s="1" t="s">
        <v>96</v>
      </c>
      <c r="B94">
        <v>140.31246884999999</v>
      </c>
      <c r="C94">
        <v>64.927449527351115</v>
      </c>
      <c r="D94">
        <v>0.79228554833929499</v>
      </c>
      <c r="E94">
        <v>4</v>
      </c>
      <c r="F94">
        <v>0.78345327723321578</v>
      </c>
      <c r="H94">
        <f t="shared" si="3"/>
        <v>1</v>
      </c>
      <c r="I94">
        <f t="shared" si="4"/>
        <v>1</v>
      </c>
      <c r="J94">
        <f t="shared" si="5"/>
        <v>0</v>
      </c>
    </row>
    <row r="95" spans="1:10" x14ac:dyDescent="0.35">
      <c r="A95" s="1" t="s">
        <v>97</v>
      </c>
      <c r="B95">
        <v>136.84774418999999</v>
      </c>
      <c r="C95">
        <v>83.006419579393111</v>
      </c>
      <c r="D95">
        <v>0.78842044350890972</v>
      </c>
      <c r="E95">
        <v>4</v>
      </c>
      <c r="F95">
        <v>0.80173231900483422</v>
      </c>
      <c r="H95">
        <f t="shared" si="3"/>
        <v>1</v>
      </c>
      <c r="I95">
        <f t="shared" si="4"/>
        <v>1</v>
      </c>
      <c r="J95">
        <f t="shared" si="5"/>
        <v>0</v>
      </c>
    </row>
    <row r="96" spans="1:10" x14ac:dyDescent="0.35">
      <c r="A96" s="1" t="s">
        <v>98</v>
      </c>
      <c r="B96">
        <v>146.39656474</v>
      </c>
      <c r="C96">
        <v>158.4578279994507</v>
      </c>
      <c r="D96">
        <v>0.79571667825809511</v>
      </c>
      <c r="E96">
        <v>4</v>
      </c>
      <c r="F96">
        <v>0.79280812477897145</v>
      </c>
      <c r="H96">
        <f t="shared" si="3"/>
        <v>0</v>
      </c>
      <c r="I96">
        <f t="shared" si="4"/>
        <v>1</v>
      </c>
      <c r="J96">
        <f t="shared" si="5"/>
        <v>1</v>
      </c>
    </row>
    <row r="97" spans="1:10" x14ac:dyDescent="0.35">
      <c r="A97" s="1" t="s">
        <v>99</v>
      </c>
      <c r="B97">
        <v>129.33306472000001</v>
      </c>
      <c r="C97">
        <v>222.23491495822071</v>
      </c>
      <c r="D97">
        <v>0.80910046462907104</v>
      </c>
      <c r="E97">
        <v>4</v>
      </c>
      <c r="F97">
        <v>0.81208572844940163</v>
      </c>
      <c r="H97">
        <f t="shared" si="3"/>
        <v>0</v>
      </c>
      <c r="I97">
        <f t="shared" si="4"/>
        <v>1</v>
      </c>
      <c r="J97">
        <f t="shared" si="5"/>
        <v>1</v>
      </c>
    </row>
    <row r="98" spans="1:10" x14ac:dyDescent="0.35">
      <c r="A98" s="1" t="s">
        <v>100</v>
      </c>
      <c r="B98">
        <v>132.82745779999999</v>
      </c>
      <c r="C98">
        <v>162.88795681530351</v>
      </c>
      <c r="D98">
        <v>0.80130315826925025</v>
      </c>
      <c r="E98">
        <v>4</v>
      </c>
      <c r="F98">
        <v>0.81814885855849673</v>
      </c>
      <c r="H98">
        <f t="shared" si="3"/>
        <v>0</v>
      </c>
      <c r="I98">
        <f t="shared" si="4"/>
        <v>1</v>
      </c>
      <c r="J98">
        <f t="shared" si="5"/>
        <v>1</v>
      </c>
    </row>
    <row r="99" spans="1:10" x14ac:dyDescent="0.35">
      <c r="A99" s="1" t="s">
        <v>101</v>
      </c>
      <c r="B99">
        <v>142.00947776999999</v>
      </c>
      <c r="C99">
        <v>459.9680477124723</v>
      </c>
      <c r="D99">
        <v>0.81596024666503053</v>
      </c>
      <c r="E99">
        <v>3</v>
      </c>
      <c r="F99">
        <v>0.7855521359784734</v>
      </c>
      <c r="H99">
        <f t="shared" si="3"/>
        <v>0</v>
      </c>
      <c r="I99">
        <f t="shared" si="4"/>
        <v>1</v>
      </c>
      <c r="J99">
        <f t="shared" si="5"/>
        <v>1</v>
      </c>
    </row>
    <row r="100" spans="1:10" x14ac:dyDescent="0.35">
      <c r="A100" s="1" t="s">
        <v>102</v>
      </c>
      <c r="B100">
        <v>138.20151994</v>
      </c>
      <c r="C100">
        <v>388.40825719381093</v>
      </c>
      <c r="D100">
        <v>0.81097097543045071</v>
      </c>
      <c r="E100">
        <v>4</v>
      </c>
      <c r="F100">
        <v>0.80213554751733906</v>
      </c>
      <c r="H100">
        <f t="shared" si="3"/>
        <v>0</v>
      </c>
      <c r="I100">
        <f t="shared" si="4"/>
        <v>1</v>
      </c>
      <c r="J100">
        <f t="shared" si="5"/>
        <v>1</v>
      </c>
    </row>
    <row r="101" spans="1:10" x14ac:dyDescent="0.35">
      <c r="A101" s="1" t="s">
        <v>103</v>
      </c>
      <c r="B101">
        <v>128.86824253</v>
      </c>
      <c r="C101">
        <v>319.23270136203098</v>
      </c>
      <c r="D101">
        <v>0.79536559459161082</v>
      </c>
      <c r="E101">
        <v>5</v>
      </c>
      <c r="F101">
        <v>0.82061022637314907</v>
      </c>
      <c r="H101">
        <f t="shared" si="3"/>
        <v>0</v>
      </c>
      <c r="I101">
        <f t="shared" si="4"/>
        <v>1</v>
      </c>
      <c r="J101">
        <f t="shared" si="5"/>
        <v>1</v>
      </c>
    </row>
    <row r="102" spans="1:10" x14ac:dyDescent="0.35">
      <c r="A102" s="1" t="s">
        <v>104</v>
      </c>
      <c r="B102">
        <v>129.37142717</v>
      </c>
      <c r="C102">
        <v>368.52979896250861</v>
      </c>
      <c r="D102">
        <v>0.81140869477622846</v>
      </c>
      <c r="E102">
        <v>2</v>
      </c>
      <c r="F102">
        <v>0.82000266291136614</v>
      </c>
      <c r="H102">
        <f t="shared" si="3"/>
        <v>0</v>
      </c>
      <c r="I102">
        <f t="shared" si="4"/>
        <v>1</v>
      </c>
      <c r="J102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2025-05-20T12:44:32Z</dcterms:created>
  <dcterms:modified xsi:type="dcterms:W3CDTF">2025-05-26T03:42:33Z</dcterms:modified>
</cp:coreProperties>
</file>