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9e2803c2f35826a/Programs/JJ/Data_bases/DB_tests/Cause_effect_pair/simulation/analyse/GS/"/>
    </mc:Choice>
  </mc:AlternateContent>
  <xr:revisionPtr revIDLastSave="2" documentId="11_23F921EDBF6B8E10C92C4C1A0D9656D141AC8CFB" xr6:coauthVersionLast="47" xr6:coauthVersionMax="47" xr10:uidLastSave="{F3E81FCF-F501-468F-A2CF-0BBA56114E7A}"/>
  <bookViews>
    <workbookView xWindow="11080" yWindow="3110" windowWidth="21340" windowHeight="152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1" i="1" l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  <c r="H1" i="1"/>
</calcChain>
</file>

<file path=xl/sharedStrings.xml><?xml version="1.0" encoding="utf-8"?>
<sst xmlns="http://schemas.openxmlformats.org/spreadsheetml/2006/main" count="56" uniqueCount="56">
  <si>
    <t>GS_0(f'Matern'_B)</t>
  </si>
  <si>
    <t>GS_a(f'Matern'_B)</t>
  </si>
  <si>
    <t>a(f'Matern'_B)</t>
  </si>
  <si>
    <t>GS_0(f'Matern'_A)</t>
  </si>
  <si>
    <t>GS_a(f'Matern'_A)</t>
  </si>
  <si>
    <t>a(f'Matern'_A)</t>
  </si>
  <si>
    <t>y=(1.28×x_1+-0.11)_90</t>
  </si>
  <si>
    <t>y=(-0.22×x_1+-0.66)_76</t>
  </si>
  <si>
    <t>y=(-2.93×x_1+1.42)_15</t>
  </si>
  <si>
    <t>y=(0.48×x_1+0.14)_40</t>
  </si>
  <si>
    <t>y=(2.93×x_1+-1.82)_55</t>
  </si>
  <si>
    <t>y=(-0.16×x_1+0.14)_56</t>
  </si>
  <si>
    <t>y=(-1.13×x_1+2.54)_66</t>
  </si>
  <si>
    <t>y=(0.42×x_1+1.81)_1</t>
  </si>
  <si>
    <t>y=(0.51×x_1+-0.27)_75</t>
  </si>
  <si>
    <t>y=(-1.44×x_1+0.81)_20</t>
  </si>
  <si>
    <t>y=(1.71×x_1+0.12)_19</t>
  </si>
  <si>
    <t>y=(-0.93×x_1+2.60)_49</t>
  </si>
  <si>
    <t>y=(2.84×x_1+-1.00)_88</t>
  </si>
  <si>
    <t>y=(0.67×x_1+0.73)_30</t>
  </si>
  <si>
    <t>y=(2.48×x_1+-2.78)_84</t>
  </si>
  <si>
    <t>y=(-2.26×x_1+-0.31)_18</t>
  </si>
  <si>
    <t>y=(-0.43×x_1+0.47)_10</t>
  </si>
  <si>
    <t>y=(-1.28×x_1+1.58)_43</t>
  </si>
  <si>
    <t>y=(-2.42×x_1+2.55)_78</t>
  </si>
  <si>
    <t>y=(-0.26×x_1+1.27)_53</t>
  </si>
  <si>
    <t>y=(-2.85×x_1+-1.35)_42</t>
  </si>
  <si>
    <t>y=(-0.78×x_1+-0.75)_8</t>
  </si>
  <si>
    <t>y=(1.50×x_1+1.48)_35</t>
  </si>
  <si>
    <t>y=(-2.42×x_1+-2.00)_69</t>
  </si>
  <si>
    <t>y=(-2.49×x_1+0.90)_59</t>
  </si>
  <si>
    <t>y=(1.61×x_1+1.22)_89</t>
  </si>
  <si>
    <t>y=(-1.54×x_1+0.68)_22</t>
  </si>
  <si>
    <t>y=(-1.39×x_1+0.17)_12</t>
  </si>
  <si>
    <t>y=(0.34×x_1+2.95)_86</t>
  </si>
  <si>
    <t>y=(-1.01×x_1+2.96)_41</t>
  </si>
  <si>
    <t>y=(-1.91×x_1+-1.70)_61</t>
  </si>
  <si>
    <t>y=(1.62×x_1+2.90)_82</t>
  </si>
  <si>
    <t>y=(1.55×x_1+-0.48)_0</t>
  </si>
  <si>
    <t>y=(1.21×x_1+1.92)_85</t>
  </si>
  <si>
    <t>y=(-1.27×x_1+0.09)_65</t>
  </si>
  <si>
    <t>y=(0.10×x_1+0.30)_92</t>
  </si>
  <si>
    <t>y=(1.45×x_1+0.27)_28</t>
  </si>
  <si>
    <t>y=(-0.18×x_1+-1.29)_16</t>
  </si>
  <si>
    <t>y=(-1.77×x_1+0.85)_58</t>
  </si>
  <si>
    <t>y=(-0.09×x_1+-1.43)_6</t>
  </si>
  <si>
    <t>y=(-0.64×x_1+2.39)_80</t>
  </si>
  <si>
    <t>y=(-0.37×x_1+0.58)_79</t>
  </si>
  <si>
    <t>y=(-0.49×x_1+-0.49)_21</t>
  </si>
  <si>
    <t>y=(-0.93×x_1+2.07)_29</t>
  </si>
  <si>
    <t>y=(-1.44×x_1+-2.84)_39</t>
  </si>
  <si>
    <t>y=(-1.04×x_1+-1.56)_77</t>
  </si>
  <si>
    <t>y=(-2.61×x_1+1.89)_62</t>
  </si>
  <si>
    <t>y=(2.52×x_1+1.34)_93</t>
  </si>
  <si>
    <t>y=(2.13×x_1+-0.82)_50</t>
  </si>
  <si>
    <t>y=(-2.26×x_1+-1.32)_94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</si>
</sst>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workbookViewId="0">
      <selection activeCell="K9" sqref="K9"/>
    </sheetView>
  </sheetViews>
  <sheetFormatPr defaultRowHeight="14.5" x14ac:dyDescent="0.35"/>
  <cols>
    <col min="1" max="1" width="20.453125" bestFit="1" customWidth="1"/>
    <col min="2" max="3" width="16.26953125" bestFit="1" customWidth="1"/>
    <col min="4" max="4" width="13.08984375" bestFit="1" customWidth="1"/>
    <col min="5" max="6" width="16.36328125" bestFit="1" customWidth="1"/>
    <col min="7" max="7" width="13.1796875" bestFit="1" customWidth="1"/>
    <col min="8" max="8" width="2.81640625" bestFit="1" customWidth="1"/>
  </cols>
  <sheetData>
    <row r="1" spans="1:8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>
        <f>SUM(H2:H51)</f>
        <v>31</v>
      </c>
    </row>
    <row r="2" spans="1:8" x14ac:dyDescent="0.35">
      <c r="A2" s="1" t="s">
        <v>6</v>
      </c>
      <c r="B2">
        <v>6.9736017009368823E-2</v>
      </c>
      <c r="C2">
        <v>0.1930104357241488</v>
      </c>
      <c r="D2">
        <v>1</v>
      </c>
      <c r="E2">
        <v>4.0177562955008739E-2</v>
      </c>
      <c r="F2">
        <v>0.15857812042494349</v>
      </c>
      <c r="G2">
        <v>1</v>
      </c>
      <c r="H2">
        <f>IF(B2&gt;E2,1,0)</f>
        <v>1</v>
      </c>
    </row>
    <row r="3" spans="1:8" x14ac:dyDescent="0.35">
      <c r="A3" s="1" t="s">
        <v>7</v>
      </c>
      <c r="B3">
        <v>1.9585941340665158E-3</v>
      </c>
      <c r="C3">
        <v>5.4191969238951724E-3</v>
      </c>
      <c r="D3">
        <v>1</v>
      </c>
      <c r="E3">
        <v>4.4342696585481178E-2</v>
      </c>
      <c r="F3">
        <v>0.18061554583853229</v>
      </c>
      <c r="G3">
        <v>1</v>
      </c>
      <c r="H3">
        <f t="shared" ref="H3:H51" si="0">IF(B3&gt;E3,1,0)</f>
        <v>0</v>
      </c>
    </row>
    <row r="4" spans="1:8" x14ac:dyDescent="0.35">
      <c r="A4" s="1" t="s">
        <v>8</v>
      </c>
      <c r="B4">
        <v>0.33343385497477129</v>
      </c>
      <c r="C4">
        <v>1.1126695374196749</v>
      </c>
      <c r="D4">
        <v>1</v>
      </c>
      <c r="E4">
        <v>4.2843528316165447E-2</v>
      </c>
      <c r="F4">
        <v>0.17854723580341139</v>
      </c>
      <c r="G4">
        <v>1</v>
      </c>
      <c r="H4">
        <f t="shared" si="0"/>
        <v>1</v>
      </c>
    </row>
    <row r="5" spans="1:8" x14ac:dyDescent="0.35">
      <c r="A5" s="1" t="s">
        <v>9</v>
      </c>
      <c r="B5">
        <v>9.669738321974819E-3</v>
      </c>
      <c r="C5">
        <v>2.711543888901129E-2</v>
      </c>
      <c r="D5">
        <v>1</v>
      </c>
      <c r="E5">
        <v>4.5833921608750217E-2</v>
      </c>
      <c r="F5">
        <v>0.14217014192043939</v>
      </c>
      <c r="G5">
        <v>1</v>
      </c>
      <c r="H5">
        <f t="shared" si="0"/>
        <v>0</v>
      </c>
    </row>
    <row r="6" spans="1:8" x14ac:dyDescent="0.35">
      <c r="A6" s="1" t="s">
        <v>10</v>
      </c>
      <c r="B6">
        <v>0.2844065796852302</v>
      </c>
      <c r="C6">
        <v>1.23778967989791</v>
      </c>
      <c r="D6">
        <v>1</v>
      </c>
      <c r="E6">
        <v>4.3067793626935469E-2</v>
      </c>
      <c r="F6">
        <v>0.14875790116044221</v>
      </c>
      <c r="G6">
        <v>1</v>
      </c>
      <c r="H6">
        <f t="shared" si="0"/>
        <v>1</v>
      </c>
    </row>
    <row r="7" spans="1:8" x14ac:dyDescent="0.35">
      <c r="A7" s="1" t="s">
        <v>11</v>
      </c>
      <c r="B7">
        <v>8.6214373845910951E-4</v>
      </c>
      <c r="C7">
        <v>3.2457718055722761E-3</v>
      </c>
      <c r="D7">
        <v>2</v>
      </c>
      <c r="E7">
        <v>4.0826280424546717E-2</v>
      </c>
      <c r="F7">
        <v>0.14631339616808611</v>
      </c>
      <c r="G7">
        <v>1</v>
      </c>
      <c r="H7">
        <f t="shared" si="0"/>
        <v>0</v>
      </c>
    </row>
    <row r="8" spans="1:8" x14ac:dyDescent="0.35">
      <c r="A8" s="1" t="s">
        <v>12</v>
      </c>
      <c r="B8">
        <v>4.428922826812709E-2</v>
      </c>
      <c r="C8">
        <v>0.18063624443469189</v>
      </c>
      <c r="D8">
        <v>1</v>
      </c>
      <c r="E8">
        <v>3.4992247516916208E-2</v>
      </c>
      <c r="F8">
        <v>0.16698474738761779</v>
      </c>
      <c r="G8">
        <v>2</v>
      </c>
      <c r="H8">
        <f t="shared" si="0"/>
        <v>1</v>
      </c>
    </row>
    <row r="9" spans="1:8" x14ac:dyDescent="0.35">
      <c r="A9" s="1" t="s">
        <v>13</v>
      </c>
      <c r="B9">
        <v>6.1197247449911174E-3</v>
      </c>
      <c r="C9">
        <v>2.4581593112634501E-2</v>
      </c>
      <c r="D9">
        <v>1</v>
      </c>
      <c r="E9">
        <v>4.0040331048796667E-2</v>
      </c>
      <c r="F9">
        <v>0.15607138742334301</v>
      </c>
      <c r="G9">
        <v>1</v>
      </c>
      <c r="H9">
        <f t="shared" si="0"/>
        <v>0</v>
      </c>
    </row>
    <row r="10" spans="1:8" x14ac:dyDescent="0.35">
      <c r="A10" s="1" t="s">
        <v>14</v>
      </c>
      <c r="B10">
        <v>9.1382513412874289E-3</v>
      </c>
      <c r="C10">
        <v>2.813482222624827E-2</v>
      </c>
      <c r="D10">
        <v>2</v>
      </c>
      <c r="E10">
        <v>5.2852670677808078E-2</v>
      </c>
      <c r="F10">
        <v>0.139321275908736</v>
      </c>
      <c r="G10">
        <v>1</v>
      </c>
      <c r="H10">
        <f t="shared" si="0"/>
        <v>0</v>
      </c>
    </row>
    <row r="11" spans="1:8" x14ac:dyDescent="0.35">
      <c r="A11" s="1" t="s">
        <v>15</v>
      </c>
      <c r="B11">
        <v>5.6458542755898122E-2</v>
      </c>
      <c r="C11">
        <v>0.18063767796672539</v>
      </c>
      <c r="D11">
        <v>1</v>
      </c>
      <c r="E11">
        <v>4.7863791787424503E-2</v>
      </c>
      <c r="F11">
        <v>0.1834057386186633</v>
      </c>
      <c r="G11">
        <v>1</v>
      </c>
      <c r="H11">
        <f t="shared" si="0"/>
        <v>1</v>
      </c>
    </row>
    <row r="12" spans="1:8" x14ac:dyDescent="0.35">
      <c r="A12" s="1" t="s">
        <v>16</v>
      </c>
      <c r="B12">
        <v>0.1077572849974633</v>
      </c>
      <c r="C12">
        <v>0.37065930547897741</v>
      </c>
      <c r="D12">
        <v>1</v>
      </c>
      <c r="E12">
        <v>3.7793151173696422E-2</v>
      </c>
      <c r="F12">
        <v>0.13477992668275571</v>
      </c>
      <c r="G12">
        <v>1</v>
      </c>
      <c r="H12">
        <f t="shared" si="0"/>
        <v>1</v>
      </c>
    </row>
    <row r="13" spans="1:8" x14ac:dyDescent="0.35">
      <c r="A13" s="1" t="s">
        <v>17</v>
      </c>
      <c r="B13">
        <v>3.5940774612875259E-2</v>
      </c>
      <c r="C13">
        <v>0.11088982267950651</v>
      </c>
      <c r="D13">
        <v>3</v>
      </c>
      <c r="E13">
        <v>2.9076514032240649E-2</v>
      </c>
      <c r="F13">
        <v>0.1741965190453148</v>
      </c>
      <c r="G13">
        <v>3</v>
      </c>
      <c r="H13">
        <f t="shared" si="0"/>
        <v>1</v>
      </c>
    </row>
    <row r="14" spans="1:8" x14ac:dyDescent="0.35">
      <c r="A14" s="1" t="s">
        <v>18</v>
      </c>
      <c r="B14">
        <v>0.22386041562296871</v>
      </c>
      <c r="C14">
        <v>0.82577439065872149</v>
      </c>
      <c r="D14">
        <v>1</v>
      </c>
      <c r="E14">
        <v>2.8672322151994219E-2</v>
      </c>
      <c r="F14">
        <v>0.14283787755961</v>
      </c>
      <c r="G14">
        <v>1</v>
      </c>
      <c r="H14">
        <f t="shared" si="0"/>
        <v>1</v>
      </c>
    </row>
    <row r="15" spans="1:8" x14ac:dyDescent="0.35">
      <c r="A15" s="1" t="s">
        <v>19</v>
      </c>
      <c r="B15">
        <v>1.748797200495034E-2</v>
      </c>
      <c r="C15">
        <v>5.5387453064397407E-2</v>
      </c>
      <c r="D15">
        <v>1</v>
      </c>
      <c r="E15">
        <v>6.2544438456889395E-2</v>
      </c>
      <c r="F15">
        <v>0.21660559884460681</v>
      </c>
      <c r="G15">
        <v>1</v>
      </c>
      <c r="H15">
        <f t="shared" si="0"/>
        <v>0</v>
      </c>
    </row>
    <row r="16" spans="1:8" x14ac:dyDescent="0.35">
      <c r="A16" s="1" t="s">
        <v>20</v>
      </c>
      <c r="B16">
        <v>0.2020614697387835</v>
      </c>
      <c r="C16">
        <v>0.93814278340010593</v>
      </c>
      <c r="D16">
        <v>1</v>
      </c>
      <c r="E16">
        <v>2.3855744811449139E-2</v>
      </c>
      <c r="F16">
        <v>0.1211496470312558</v>
      </c>
      <c r="G16">
        <v>1</v>
      </c>
      <c r="H16">
        <f t="shared" si="0"/>
        <v>1</v>
      </c>
    </row>
    <row r="17" spans="1:8" x14ac:dyDescent="0.35">
      <c r="A17" s="1" t="s">
        <v>21</v>
      </c>
      <c r="B17">
        <v>0.1999347652012915</v>
      </c>
      <c r="C17">
        <v>0.69937342137243419</v>
      </c>
      <c r="D17">
        <v>2</v>
      </c>
      <c r="E17">
        <v>5.5160104633017681E-2</v>
      </c>
      <c r="F17">
        <v>0.16741348380685189</v>
      </c>
      <c r="G17">
        <v>1</v>
      </c>
      <c r="H17">
        <f t="shared" si="0"/>
        <v>1</v>
      </c>
    </row>
    <row r="18" spans="1:8" x14ac:dyDescent="0.35">
      <c r="A18" s="1" t="s">
        <v>22</v>
      </c>
      <c r="B18">
        <v>7.0870302778018868E-3</v>
      </c>
      <c r="C18">
        <v>2.035121786021922E-2</v>
      </c>
      <c r="D18">
        <v>1</v>
      </c>
      <c r="E18">
        <v>3.8112759607813018E-2</v>
      </c>
      <c r="F18">
        <v>0.1583562028716346</v>
      </c>
      <c r="G18">
        <v>1</v>
      </c>
      <c r="H18">
        <f t="shared" si="0"/>
        <v>0</v>
      </c>
    </row>
    <row r="19" spans="1:8" x14ac:dyDescent="0.35">
      <c r="A19" s="1" t="s">
        <v>23</v>
      </c>
      <c r="B19">
        <v>5.1276754416701209E-2</v>
      </c>
      <c r="C19">
        <v>0.26678632027938137</v>
      </c>
      <c r="D19">
        <v>1</v>
      </c>
      <c r="E19">
        <v>3.502128103614055E-2</v>
      </c>
      <c r="F19">
        <v>0.2377181688921127</v>
      </c>
      <c r="G19">
        <v>2</v>
      </c>
      <c r="H19">
        <f t="shared" si="0"/>
        <v>1</v>
      </c>
    </row>
    <row r="20" spans="1:8" x14ac:dyDescent="0.35">
      <c r="A20" s="1" t="s">
        <v>24</v>
      </c>
      <c r="B20">
        <v>0.2036825492165901</v>
      </c>
      <c r="C20">
        <v>1.015658418082112</v>
      </c>
      <c r="D20">
        <v>2</v>
      </c>
      <c r="E20">
        <v>3.4321349392783418E-2</v>
      </c>
      <c r="F20">
        <v>0.15395518253631749</v>
      </c>
      <c r="G20">
        <v>2</v>
      </c>
      <c r="H20">
        <f t="shared" si="0"/>
        <v>1</v>
      </c>
    </row>
    <row r="21" spans="1:8" x14ac:dyDescent="0.35">
      <c r="A21" s="1" t="s">
        <v>25</v>
      </c>
      <c r="B21">
        <v>1.9248706610994759E-3</v>
      </c>
      <c r="C21">
        <v>8.9291370747340542E-3</v>
      </c>
      <c r="D21">
        <v>2</v>
      </c>
      <c r="E21">
        <v>3.9160635355926843E-2</v>
      </c>
      <c r="F21">
        <v>0.1805587554811931</v>
      </c>
      <c r="G21">
        <v>1</v>
      </c>
      <c r="H21">
        <f t="shared" si="0"/>
        <v>0</v>
      </c>
    </row>
    <row r="22" spans="1:8" x14ac:dyDescent="0.35">
      <c r="A22" s="1" t="s">
        <v>26</v>
      </c>
      <c r="B22">
        <v>0.29619795509132629</v>
      </c>
      <c r="C22">
        <v>1.4456899448877949</v>
      </c>
      <c r="D22">
        <v>1</v>
      </c>
      <c r="E22">
        <v>4.5251777168745733E-2</v>
      </c>
      <c r="F22">
        <v>0.19532950922289091</v>
      </c>
      <c r="G22">
        <v>2</v>
      </c>
      <c r="H22">
        <f t="shared" si="0"/>
        <v>1</v>
      </c>
    </row>
    <row r="23" spans="1:8" x14ac:dyDescent="0.35">
      <c r="A23" s="1" t="s">
        <v>27</v>
      </c>
      <c r="B23">
        <v>1.7089457748443952E-2</v>
      </c>
      <c r="C23">
        <v>8.4191100595119667E-2</v>
      </c>
      <c r="D23">
        <v>3</v>
      </c>
      <c r="E23">
        <v>4.7399718108017908E-2</v>
      </c>
      <c r="F23">
        <v>0.18251367013014169</v>
      </c>
      <c r="G23">
        <v>1</v>
      </c>
      <c r="H23">
        <f t="shared" si="0"/>
        <v>0</v>
      </c>
    </row>
    <row r="24" spans="1:8" x14ac:dyDescent="0.35">
      <c r="A24" s="1" t="s">
        <v>28</v>
      </c>
      <c r="B24">
        <v>0.1176217635781711</v>
      </c>
      <c r="C24">
        <v>0.36285850582218881</v>
      </c>
      <c r="D24">
        <v>1</v>
      </c>
      <c r="E24">
        <v>5.3182333510825693E-2</v>
      </c>
      <c r="F24">
        <v>0.16955251589282949</v>
      </c>
      <c r="G24">
        <v>1</v>
      </c>
      <c r="H24">
        <f t="shared" si="0"/>
        <v>1</v>
      </c>
    </row>
    <row r="25" spans="1:8" x14ac:dyDescent="0.35">
      <c r="A25" s="1" t="s">
        <v>29</v>
      </c>
      <c r="B25">
        <v>0.21266558547779901</v>
      </c>
      <c r="C25">
        <v>0.86879594230478419</v>
      </c>
      <c r="D25">
        <v>1</v>
      </c>
      <c r="E25">
        <v>4.5132725836850802E-2</v>
      </c>
      <c r="F25">
        <v>0.15749742727192401</v>
      </c>
      <c r="G25">
        <v>1</v>
      </c>
      <c r="H25">
        <f t="shared" si="0"/>
        <v>1</v>
      </c>
    </row>
    <row r="26" spans="1:8" x14ac:dyDescent="0.35">
      <c r="A26" s="1" t="s">
        <v>30</v>
      </c>
      <c r="B26">
        <v>0.19538975299726721</v>
      </c>
      <c r="C26">
        <v>0.8857662532501116</v>
      </c>
      <c r="D26">
        <v>2</v>
      </c>
      <c r="E26">
        <v>3.5303189003485613E-2</v>
      </c>
      <c r="F26">
        <v>0.1732018363827412</v>
      </c>
      <c r="G26">
        <v>1</v>
      </c>
      <c r="H26">
        <f t="shared" si="0"/>
        <v>1</v>
      </c>
    </row>
    <row r="27" spans="1:8" x14ac:dyDescent="0.35">
      <c r="A27" s="1" t="s">
        <v>31</v>
      </c>
      <c r="B27">
        <v>0.13386392637102329</v>
      </c>
      <c r="C27">
        <v>0.34681997753940141</v>
      </c>
      <c r="D27">
        <v>3</v>
      </c>
      <c r="E27">
        <v>3.7000955511160782E-2</v>
      </c>
      <c r="F27">
        <v>0.1578540339611029</v>
      </c>
      <c r="G27">
        <v>1</v>
      </c>
      <c r="H27">
        <f t="shared" si="0"/>
        <v>1</v>
      </c>
    </row>
    <row r="28" spans="1:8" x14ac:dyDescent="0.35">
      <c r="A28" s="1" t="s">
        <v>32</v>
      </c>
      <c r="B28">
        <v>0.1023246844656862</v>
      </c>
      <c r="C28">
        <v>0.34132741461008392</v>
      </c>
      <c r="D28">
        <v>2</v>
      </c>
      <c r="E28">
        <v>5.2632634915980248E-2</v>
      </c>
      <c r="F28">
        <v>0.2213945990545407</v>
      </c>
      <c r="G28">
        <v>1</v>
      </c>
      <c r="H28">
        <f t="shared" si="0"/>
        <v>1</v>
      </c>
    </row>
    <row r="29" spans="1:8" x14ac:dyDescent="0.35">
      <c r="A29" s="1" t="s">
        <v>33</v>
      </c>
      <c r="B29">
        <v>6.6296603974571156E-2</v>
      </c>
      <c r="C29">
        <v>0.2261749075563092</v>
      </c>
      <c r="D29">
        <v>1</v>
      </c>
      <c r="E29">
        <v>3.0869502199593061E-2</v>
      </c>
      <c r="F29">
        <v>0.1188140285704668</v>
      </c>
      <c r="G29">
        <v>1</v>
      </c>
      <c r="H29">
        <f t="shared" si="0"/>
        <v>1</v>
      </c>
    </row>
    <row r="30" spans="1:8" x14ac:dyDescent="0.35">
      <c r="A30" s="1" t="s">
        <v>34</v>
      </c>
      <c r="B30">
        <v>4.2050282783989701E-3</v>
      </c>
      <c r="C30">
        <v>1.354270507635718E-2</v>
      </c>
      <c r="D30">
        <v>1</v>
      </c>
      <c r="E30">
        <v>5.1248758420406659E-2</v>
      </c>
      <c r="F30">
        <v>0.1410230663464124</v>
      </c>
      <c r="G30">
        <v>1</v>
      </c>
      <c r="H30">
        <f t="shared" si="0"/>
        <v>0</v>
      </c>
    </row>
    <row r="31" spans="1:8" x14ac:dyDescent="0.35">
      <c r="A31" s="1" t="s">
        <v>35</v>
      </c>
      <c r="B31">
        <v>2.3743240957900369E-2</v>
      </c>
      <c r="C31">
        <v>0.1552194163749287</v>
      </c>
      <c r="D31">
        <v>2</v>
      </c>
      <c r="E31">
        <v>3.7819210629500333E-2</v>
      </c>
      <c r="F31">
        <v>0.16271473121040389</v>
      </c>
      <c r="G31">
        <v>2</v>
      </c>
      <c r="H31">
        <f t="shared" si="0"/>
        <v>0</v>
      </c>
    </row>
    <row r="32" spans="1:8" x14ac:dyDescent="0.35">
      <c r="A32" s="1" t="s">
        <v>36</v>
      </c>
      <c r="B32">
        <v>0.15343320299766461</v>
      </c>
      <c r="C32">
        <v>0.67012932400256253</v>
      </c>
      <c r="D32">
        <v>1</v>
      </c>
      <c r="E32">
        <v>2.8660218257421381E-2</v>
      </c>
      <c r="F32">
        <v>0.1509429264820549</v>
      </c>
      <c r="G32">
        <v>3</v>
      </c>
      <c r="H32">
        <f t="shared" si="0"/>
        <v>1</v>
      </c>
    </row>
    <row r="33" spans="1:8" x14ac:dyDescent="0.35">
      <c r="A33" s="1" t="s">
        <v>37</v>
      </c>
      <c r="B33">
        <v>8.9604273526115996E-2</v>
      </c>
      <c r="C33">
        <v>0.37721748879227768</v>
      </c>
      <c r="D33">
        <v>1</v>
      </c>
      <c r="E33">
        <v>4.6146853249304343E-2</v>
      </c>
      <c r="F33">
        <v>0.2053626109946233</v>
      </c>
      <c r="G33">
        <v>1</v>
      </c>
      <c r="H33">
        <f t="shared" si="0"/>
        <v>1</v>
      </c>
    </row>
    <row r="34" spans="1:8" x14ac:dyDescent="0.35">
      <c r="A34" s="1" t="s">
        <v>38</v>
      </c>
      <c r="B34">
        <v>9.2734898038283831E-2</v>
      </c>
      <c r="C34">
        <v>0.25568439470694643</v>
      </c>
      <c r="D34">
        <v>1</v>
      </c>
      <c r="E34">
        <v>3.5527571825454629E-2</v>
      </c>
      <c r="F34">
        <v>0.15316099636607039</v>
      </c>
      <c r="G34">
        <v>2</v>
      </c>
      <c r="H34">
        <f t="shared" si="0"/>
        <v>1</v>
      </c>
    </row>
    <row r="35" spans="1:8" x14ac:dyDescent="0.35">
      <c r="A35" s="1" t="s">
        <v>39</v>
      </c>
      <c r="B35">
        <v>5.4779204649271662E-2</v>
      </c>
      <c r="C35">
        <v>0.15115080039594631</v>
      </c>
      <c r="D35">
        <v>1</v>
      </c>
      <c r="E35">
        <v>3.5660354176009428E-2</v>
      </c>
      <c r="F35">
        <v>0.15594827865236949</v>
      </c>
      <c r="G35">
        <v>1</v>
      </c>
      <c r="H35">
        <f t="shared" si="0"/>
        <v>1</v>
      </c>
    </row>
    <row r="36" spans="1:8" x14ac:dyDescent="0.35">
      <c r="A36" s="1" t="s">
        <v>40</v>
      </c>
      <c r="B36">
        <v>6.674071503148582E-2</v>
      </c>
      <c r="C36">
        <v>0.22075774987974681</v>
      </c>
      <c r="D36">
        <v>3</v>
      </c>
      <c r="E36">
        <v>3.8136862959852642E-2</v>
      </c>
      <c r="F36">
        <v>0.1638398875132008</v>
      </c>
      <c r="G36">
        <v>1</v>
      </c>
      <c r="H36">
        <f t="shared" si="0"/>
        <v>1</v>
      </c>
    </row>
    <row r="37" spans="1:8" x14ac:dyDescent="0.35">
      <c r="A37" s="1" t="s">
        <v>41</v>
      </c>
      <c r="B37">
        <v>3.2804464295059852E-4</v>
      </c>
      <c r="C37">
        <v>1.241856051944891E-3</v>
      </c>
      <c r="D37">
        <v>1</v>
      </c>
      <c r="E37">
        <v>5.0559571024166423E-2</v>
      </c>
      <c r="F37">
        <v>0.17474985258750489</v>
      </c>
      <c r="G37">
        <v>1</v>
      </c>
      <c r="H37">
        <f t="shared" si="0"/>
        <v>0</v>
      </c>
    </row>
    <row r="38" spans="1:8" x14ac:dyDescent="0.35">
      <c r="A38" s="1" t="s">
        <v>42</v>
      </c>
      <c r="B38">
        <v>7.719483183912601E-2</v>
      </c>
      <c r="C38">
        <v>0.35313590307056908</v>
      </c>
      <c r="D38">
        <v>2</v>
      </c>
      <c r="E38">
        <v>3.8588331908549378E-2</v>
      </c>
      <c r="F38">
        <v>0.14386387347365889</v>
      </c>
      <c r="G38">
        <v>1</v>
      </c>
      <c r="H38">
        <f t="shared" si="0"/>
        <v>1</v>
      </c>
    </row>
    <row r="39" spans="1:8" x14ac:dyDescent="0.35">
      <c r="A39" s="1" t="s">
        <v>43</v>
      </c>
      <c r="B39">
        <v>1.0829560935690099E-3</v>
      </c>
      <c r="C39">
        <v>4.8691282845491684E-3</v>
      </c>
      <c r="D39">
        <v>1</v>
      </c>
      <c r="E39">
        <v>3.8372415524843717E-2</v>
      </c>
      <c r="F39">
        <v>0.17888167591979309</v>
      </c>
      <c r="G39">
        <v>1</v>
      </c>
      <c r="H39">
        <f t="shared" si="0"/>
        <v>0</v>
      </c>
    </row>
    <row r="40" spans="1:8" x14ac:dyDescent="0.35">
      <c r="A40" s="1" t="s">
        <v>44</v>
      </c>
      <c r="B40">
        <v>0.1256385907106439</v>
      </c>
      <c r="C40">
        <v>0.3476148832725659</v>
      </c>
      <c r="D40">
        <v>1</v>
      </c>
      <c r="E40">
        <v>3.3477752293286762E-2</v>
      </c>
      <c r="F40">
        <v>0.14589351705680059</v>
      </c>
      <c r="G40">
        <v>3</v>
      </c>
      <c r="H40">
        <f t="shared" si="0"/>
        <v>1</v>
      </c>
    </row>
    <row r="41" spans="1:8" x14ac:dyDescent="0.35">
      <c r="A41" s="1" t="s">
        <v>45</v>
      </c>
      <c r="B41">
        <v>2.727943008482218E-4</v>
      </c>
      <c r="C41">
        <v>1.0721491974756869E-3</v>
      </c>
      <c r="D41">
        <v>1</v>
      </c>
      <c r="E41">
        <v>5.1760130382835001E-2</v>
      </c>
      <c r="F41">
        <v>0.15072122573496291</v>
      </c>
      <c r="G41">
        <v>1</v>
      </c>
      <c r="H41">
        <f t="shared" si="0"/>
        <v>0</v>
      </c>
    </row>
    <row r="42" spans="1:8" x14ac:dyDescent="0.35">
      <c r="A42" s="1" t="s">
        <v>46</v>
      </c>
      <c r="B42">
        <v>1.456908931250922E-2</v>
      </c>
      <c r="C42">
        <v>5.1025591251258322E-2</v>
      </c>
      <c r="D42">
        <v>1</v>
      </c>
      <c r="E42">
        <v>3.6486168390332807E-2</v>
      </c>
      <c r="F42">
        <v>0.1874726335445179</v>
      </c>
      <c r="G42">
        <v>1</v>
      </c>
      <c r="H42">
        <f t="shared" si="0"/>
        <v>0</v>
      </c>
    </row>
    <row r="43" spans="1:8" x14ac:dyDescent="0.35">
      <c r="A43" s="1" t="s">
        <v>47</v>
      </c>
      <c r="B43">
        <v>5.1590906164165062E-3</v>
      </c>
      <c r="C43">
        <v>1.568820017247444E-2</v>
      </c>
      <c r="D43">
        <v>1</v>
      </c>
      <c r="E43">
        <v>3.9420777426208531E-2</v>
      </c>
      <c r="F43">
        <v>0.19103609552901199</v>
      </c>
      <c r="G43">
        <v>1</v>
      </c>
      <c r="H43">
        <f t="shared" si="0"/>
        <v>0</v>
      </c>
    </row>
    <row r="44" spans="1:8" x14ac:dyDescent="0.35">
      <c r="A44" s="1" t="s">
        <v>48</v>
      </c>
      <c r="B44">
        <v>7.0657005345111656E-3</v>
      </c>
      <c r="C44">
        <v>3.1889301664088487E-2</v>
      </c>
      <c r="D44">
        <v>1</v>
      </c>
      <c r="E44">
        <v>4.1958950298869979E-2</v>
      </c>
      <c r="F44">
        <v>0.15396506302533169</v>
      </c>
      <c r="G44">
        <v>1</v>
      </c>
      <c r="H44">
        <f t="shared" si="0"/>
        <v>0</v>
      </c>
    </row>
    <row r="45" spans="1:8" x14ac:dyDescent="0.35">
      <c r="A45" s="1" t="s">
        <v>49</v>
      </c>
      <c r="B45">
        <v>2.5449341213281681E-2</v>
      </c>
      <c r="C45">
        <v>8.8642285335567575E-2</v>
      </c>
      <c r="D45">
        <v>4</v>
      </c>
      <c r="E45">
        <v>2.7213813503315979E-2</v>
      </c>
      <c r="F45">
        <v>0.103085426819676</v>
      </c>
      <c r="G45">
        <v>1</v>
      </c>
      <c r="H45">
        <f t="shared" si="0"/>
        <v>0</v>
      </c>
    </row>
    <row r="46" spans="1:8" x14ac:dyDescent="0.35">
      <c r="A46" s="1" t="s">
        <v>50</v>
      </c>
      <c r="B46">
        <v>5.0518582685436193E-2</v>
      </c>
      <c r="C46">
        <v>0.280682179755187</v>
      </c>
      <c r="D46">
        <v>1</v>
      </c>
      <c r="E46">
        <v>2.9927288222177491E-2</v>
      </c>
      <c r="F46">
        <v>2.9927287808531971E-2</v>
      </c>
      <c r="G46">
        <v>0</v>
      </c>
      <c r="H46">
        <f t="shared" si="0"/>
        <v>1</v>
      </c>
    </row>
    <row r="47" spans="1:8" x14ac:dyDescent="0.35">
      <c r="A47" s="1" t="s">
        <v>51</v>
      </c>
      <c r="B47">
        <v>3.8214158162501732E-2</v>
      </c>
      <c r="C47">
        <v>0.15723604268045591</v>
      </c>
      <c r="D47">
        <v>1</v>
      </c>
      <c r="E47">
        <v>4.8011161263197273E-2</v>
      </c>
      <c r="F47">
        <v>0.17278884755385171</v>
      </c>
      <c r="G47">
        <v>1</v>
      </c>
      <c r="H47">
        <f t="shared" si="0"/>
        <v>0</v>
      </c>
    </row>
    <row r="48" spans="1:8" x14ac:dyDescent="0.35">
      <c r="A48" s="1" t="s">
        <v>52</v>
      </c>
      <c r="B48">
        <v>0.2165268756233161</v>
      </c>
      <c r="C48">
        <v>0.75701588323344482</v>
      </c>
      <c r="D48">
        <v>1</v>
      </c>
      <c r="E48">
        <v>4.4837839294597608E-2</v>
      </c>
      <c r="F48">
        <v>0.18476005986877789</v>
      </c>
      <c r="G48">
        <v>2</v>
      </c>
      <c r="H48">
        <f t="shared" si="0"/>
        <v>1</v>
      </c>
    </row>
    <row r="49" spans="1:8" x14ac:dyDescent="0.35">
      <c r="A49" s="1" t="s">
        <v>53</v>
      </c>
      <c r="B49">
        <v>0.28720824381089288</v>
      </c>
      <c r="C49">
        <v>0.86492826819289004</v>
      </c>
      <c r="D49">
        <v>1</v>
      </c>
      <c r="E49">
        <v>3.2175145707055819E-2</v>
      </c>
      <c r="F49">
        <v>0.21883157146038629</v>
      </c>
      <c r="G49">
        <v>2</v>
      </c>
      <c r="H49">
        <f t="shared" si="0"/>
        <v>1</v>
      </c>
    </row>
    <row r="50" spans="1:8" x14ac:dyDescent="0.35">
      <c r="A50" s="1" t="s">
        <v>54</v>
      </c>
      <c r="B50">
        <v>0.1822877974404227</v>
      </c>
      <c r="C50">
        <v>0.57524830871762922</v>
      </c>
      <c r="D50">
        <v>1</v>
      </c>
      <c r="E50">
        <v>3.3626385005614878E-2</v>
      </c>
      <c r="F50">
        <v>0.16550341829175039</v>
      </c>
      <c r="G50">
        <v>2</v>
      </c>
      <c r="H50">
        <f t="shared" si="0"/>
        <v>1</v>
      </c>
    </row>
    <row r="51" spans="1:8" x14ac:dyDescent="0.35">
      <c r="A51" s="1" t="s">
        <v>55</v>
      </c>
      <c r="B51">
        <v>0.156187757349632</v>
      </c>
      <c r="C51">
        <v>0.67375253703444993</v>
      </c>
      <c r="D51">
        <v>1</v>
      </c>
      <c r="E51">
        <v>3.062542686355485E-2</v>
      </c>
      <c r="F51">
        <v>0.13750526170769001</v>
      </c>
      <c r="G51">
        <v>1</v>
      </c>
      <c r="H51">
        <f t="shared" si="0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蒋 思危</cp:lastModifiedBy>
  <dcterms:created xsi:type="dcterms:W3CDTF">2025-05-26T04:59:00Z</dcterms:created>
  <dcterms:modified xsi:type="dcterms:W3CDTF">2025-05-26T05:24:39Z</dcterms:modified>
</cp:coreProperties>
</file>