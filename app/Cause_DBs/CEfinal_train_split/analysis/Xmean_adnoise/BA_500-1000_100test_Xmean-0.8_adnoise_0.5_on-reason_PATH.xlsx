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8" documentId="11_23F921ED8E634E154B2D4C75D55D223F7CD87194" xr6:coauthVersionLast="47" xr6:coauthVersionMax="47" xr10:uidLastSave="{F227F878-6A78-4799-B33A-7DFB2AEDBA0D}"/>
  <bookViews>
    <workbookView xWindow="-90" yWindow="0" windowWidth="2701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Q19" i="1" s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Q50" i="1" s="1"/>
  <c r="V50" i="1" s="1"/>
  <c r="O51" i="1"/>
  <c r="O52" i="1"/>
  <c r="O53" i="1"/>
  <c r="O54" i="1"/>
  <c r="O55" i="1"/>
  <c r="O56" i="1"/>
  <c r="Q56" i="1" s="1"/>
  <c r="V56" i="1" s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Q79" i="1" s="1"/>
  <c r="V79" i="1" s="1"/>
  <c r="O80" i="1"/>
  <c r="O81" i="1"/>
  <c r="O82" i="1"/>
  <c r="Q82" i="1" s="1"/>
  <c r="V82" i="1" s="1"/>
  <c r="O83" i="1"/>
  <c r="O84" i="1"/>
  <c r="O85" i="1"/>
  <c r="O86" i="1"/>
  <c r="O87" i="1"/>
  <c r="O88" i="1"/>
  <c r="O89" i="1"/>
  <c r="O90" i="1"/>
  <c r="Q90" i="1" s="1"/>
  <c r="O91" i="1"/>
  <c r="O92" i="1"/>
  <c r="O93" i="1"/>
  <c r="O94" i="1"/>
  <c r="O95" i="1"/>
  <c r="O96" i="1"/>
  <c r="O97" i="1"/>
  <c r="O98" i="1"/>
  <c r="O99" i="1"/>
  <c r="O100" i="1"/>
  <c r="O101" i="1"/>
  <c r="O102" i="1"/>
  <c r="P3" i="1"/>
  <c r="P4" i="1"/>
  <c r="P5" i="1"/>
  <c r="P6" i="1"/>
  <c r="P7" i="1"/>
  <c r="P8" i="1"/>
  <c r="P9" i="1"/>
  <c r="P10" i="1"/>
  <c r="P11" i="1"/>
  <c r="P12" i="1"/>
  <c r="P13" i="1"/>
  <c r="P2" i="1" s="1"/>
  <c r="P14" i="1"/>
  <c r="P15" i="1"/>
  <c r="P16" i="1"/>
  <c r="P17" i="1"/>
  <c r="P18" i="1"/>
  <c r="P19" i="1"/>
  <c r="P20" i="1"/>
  <c r="P21" i="1"/>
  <c r="P22" i="1"/>
  <c r="P23" i="1"/>
  <c r="P24" i="1"/>
  <c r="Q24" i="1" s="1"/>
  <c r="P25" i="1"/>
  <c r="P26" i="1"/>
  <c r="P27" i="1"/>
  <c r="P28" i="1"/>
  <c r="P29" i="1"/>
  <c r="P30" i="1"/>
  <c r="Q30" i="1" s="1"/>
  <c r="V30" i="1" s="1"/>
  <c r="P31" i="1"/>
  <c r="Q31" i="1" s="1"/>
  <c r="V31" i="1" s="1"/>
  <c r="P32" i="1"/>
  <c r="P33" i="1"/>
  <c r="P34" i="1"/>
  <c r="P35" i="1"/>
  <c r="P36" i="1"/>
  <c r="P37" i="1"/>
  <c r="P38" i="1"/>
  <c r="P39" i="1"/>
  <c r="P40" i="1"/>
  <c r="P41" i="1"/>
  <c r="P42" i="1"/>
  <c r="P43" i="1"/>
  <c r="Q43" i="1" s="1"/>
  <c r="P44" i="1"/>
  <c r="Q44" i="1" s="1"/>
  <c r="P45" i="1"/>
  <c r="Q45" i="1" s="1"/>
  <c r="P46" i="1"/>
  <c r="P47" i="1"/>
  <c r="P48" i="1"/>
  <c r="P49" i="1"/>
  <c r="P50" i="1"/>
  <c r="P51" i="1"/>
  <c r="Q51" i="1" s="1"/>
  <c r="P52" i="1"/>
  <c r="P53" i="1"/>
  <c r="P54" i="1"/>
  <c r="P55" i="1"/>
  <c r="P56" i="1"/>
  <c r="P57" i="1"/>
  <c r="Q57" i="1" s="1"/>
  <c r="P58" i="1"/>
  <c r="P59" i="1"/>
  <c r="P60" i="1"/>
  <c r="P61" i="1"/>
  <c r="P62" i="1"/>
  <c r="P63" i="1"/>
  <c r="Q63" i="1" s="1"/>
  <c r="U63" i="1" s="1"/>
  <c r="W63" i="1" s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Q76" i="1" s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Q94" i="1" s="1"/>
  <c r="P95" i="1"/>
  <c r="Q95" i="1" s="1"/>
  <c r="P96" i="1"/>
  <c r="P97" i="1"/>
  <c r="P98" i="1"/>
  <c r="P99" i="1"/>
  <c r="P100" i="1"/>
  <c r="P101" i="1"/>
  <c r="P102" i="1"/>
  <c r="Q74" i="1"/>
  <c r="V74" i="1" s="1"/>
  <c r="Q77" i="1"/>
  <c r="Q88" i="1"/>
  <c r="V88" i="1" s="1"/>
  <c r="Q41" i="1"/>
  <c r="Q72" i="1"/>
  <c r="V72" i="1" s="1"/>
  <c r="Q73" i="1"/>
  <c r="U73" i="1" s="1"/>
  <c r="W73" i="1" s="1"/>
  <c r="Q78" i="1"/>
  <c r="Q89" i="1"/>
  <c r="Q13" i="1"/>
  <c r="V13" i="1" s="1"/>
  <c r="Q14" i="1"/>
  <c r="V14" i="1" s="1"/>
  <c r="Q15" i="1"/>
  <c r="V15" i="1" s="1"/>
  <c r="Q16" i="1"/>
  <c r="V16" i="1" s="1"/>
  <c r="Q39" i="1"/>
  <c r="Q42" i="1"/>
  <c r="Q80" i="1"/>
  <c r="V80" i="1" s="1"/>
  <c r="Q81" i="1"/>
  <c r="U81" i="1" s="1"/>
  <c r="Q83" i="1"/>
  <c r="U83" i="1" s="1"/>
  <c r="W83" i="1" s="1"/>
  <c r="Q12" i="1"/>
  <c r="Q18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2" i="1" s="1"/>
  <c r="T6" i="1"/>
  <c r="T5" i="1"/>
  <c r="T4" i="1"/>
  <c r="T3" i="1"/>
  <c r="Q102" i="1"/>
  <c r="V102" i="1" s="1"/>
  <c r="Q101" i="1"/>
  <c r="V101" i="1" s="1"/>
  <c r="Q100" i="1"/>
  <c r="V100" i="1" s="1"/>
  <c r="Q71" i="1"/>
  <c r="U71" i="1" s="1"/>
  <c r="W71" i="1" s="1"/>
  <c r="Q70" i="1"/>
  <c r="U70" i="1" s="1"/>
  <c r="W70" i="1" s="1"/>
  <c r="Q69" i="1"/>
  <c r="V69" i="1" s="1"/>
  <c r="Q68" i="1"/>
  <c r="V68" i="1" s="1"/>
  <c r="Q40" i="1"/>
  <c r="V40" i="1" s="1"/>
  <c r="Q38" i="1"/>
  <c r="V38" i="1" s="1"/>
  <c r="Q37" i="1"/>
  <c r="V37" i="1" s="1"/>
  <c r="Q36" i="1"/>
  <c r="V36" i="1" s="1"/>
  <c r="Q9" i="1"/>
  <c r="U9" i="1" s="1"/>
  <c r="W9" i="1" s="1"/>
  <c r="Q8" i="1"/>
  <c r="V8" i="1" s="1"/>
  <c r="Q7" i="1"/>
  <c r="V7" i="1" s="1"/>
  <c r="Q6" i="1"/>
  <c r="V6" i="1" s="1"/>
  <c r="Q5" i="1"/>
  <c r="V5" i="1" s="1"/>
  <c r="Q4" i="1"/>
  <c r="U4" i="1" s="1"/>
  <c r="W4" i="1" s="1"/>
  <c r="Q3" i="1"/>
  <c r="V3" i="1" s="1"/>
  <c r="F102" i="1"/>
  <c r="E102" i="1"/>
  <c r="G102" i="1" s="1"/>
  <c r="D102" i="1"/>
  <c r="F101" i="1"/>
  <c r="E101" i="1"/>
  <c r="G101" i="1" s="1"/>
  <c r="D101" i="1"/>
  <c r="F100" i="1"/>
  <c r="E100" i="1"/>
  <c r="G100" i="1" s="1"/>
  <c r="D100" i="1"/>
  <c r="F99" i="1"/>
  <c r="E99" i="1"/>
  <c r="G99" i="1" s="1"/>
  <c r="D99" i="1"/>
  <c r="F98" i="1"/>
  <c r="E98" i="1"/>
  <c r="G98" i="1" s="1"/>
  <c r="D98" i="1"/>
  <c r="F97" i="1"/>
  <c r="E97" i="1"/>
  <c r="G97" i="1" s="1"/>
  <c r="D97" i="1"/>
  <c r="F96" i="1"/>
  <c r="E96" i="1"/>
  <c r="G96" i="1" s="1"/>
  <c r="D96" i="1"/>
  <c r="F95" i="1"/>
  <c r="E95" i="1"/>
  <c r="G95" i="1" s="1"/>
  <c r="D95" i="1"/>
  <c r="F94" i="1"/>
  <c r="E94" i="1"/>
  <c r="G94" i="1" s="1"/>
  <c r="D94" i="1"/>
  <c r="F93" i="1"/>
  <c r="E93" i="1"/>
  <c r="G93" i="1" s="1"/>
  <c r="D93" i="1"/>
  <c r="F92" i="1"/>
  <c r="E92" i="1"/>
  <c r="G92" i="1" s="1"/>
  <c r="D92" i="1"/>
  <c r="F91" i="1"/>
  <c r="E91" i="1"/>
  <c r="G91" i="1" s="1"/>
  <c r="D91" i="1"/>
  <c r="F90" i="1"/>
  <c r="E90" i="1"/>
  <c r="G90" i="1" s="1"/>
  <c r="D90" i="1"/>
  <c r="F89" i="1"/>
  <c r="E89" i="1"/>
  <c r="G89" i="1" s="1"/>
  <c r="D89" i="1"/>
  <c r="F88" i="1"/>
  <c r="E88" i="1"/>
  <c r="G88" i="1" s="1"/>
  <c r="D88" i="1"/>
  <c r="F87" i="1"/>
  <c r="E87" i="1"/>
  <c r="G87" i="1" s="1"/>
  <c r="D87" i="1"/>
  <c r="F86" i="1"/>
  <c r="E86" i="1"/>
  <c r="G86" i="1" s="1"/>
  <c r="D86" i="1"/>
  <c r="F85" i="1"/>
  <c r="E85" i="1"/>
  <c r="G85" i="1" s="1"/>
  <c r="D85" i="1"/>
  <c r="F84" i="1"/>
  <c r="E84" i="1"/>
  <c r="G84" i="1" s="1"/>
  <c r="D84" i="1"/>
  <c r="F83" i="1"/>
  <c r="E83" i="1"/>
  <c r="G83" i="1" s="1"/>
  <c r="D83" i="1"/>
  <c r="F82" i="1"/>
  <c r="E82" i="1"/>
  <c r="G82" i="1" s="1"/>
  <c r="D82" i="1"/>
  <c r="F81" i="1"/>
  <c r="E81" i="1"/>
  <c r="G81" i="1" s="1"/>
  <c r="D81" i="1"/>
  <c r="F80" i="1"/>
  <c r="E80" i="1"/>
  <c r="G80" i="1" s="1"/>
  <c r="D80" i="1"/>
  <c r="F79" i="1"/>
  <c r="E79" i="1"/>
  <c r="G79" i="1" s="1"/>
  <c r="D79" i="1"/>
  <c r="F78" i="1"/>
  <c r="E78" i="1"/>
  <c r="G78" i="1" s="1"/>
  <c r="D78" i="1"/>
  <c r="F77" i="1"/>
  <c r="E77" i="1"/>
  <c r="G77" i="1" s="1"/>
  <c r="D77" i="1"/>
  <c r="F76" i="1"/>
  <c r="E76" i="1"/>
  <c r="G76" i="1" s="1"/>
  <c r="D76" i="1"/>
  <c r="F75" i="1"/>
  <c r="E75" i="1"/>
  <c r="G75" i="1" s="1"/>
  <c r="D75" i="1"/>
  <c r="F74" i="1"/>
  <c r="E74" i="1"/>
  <c r="G74" i="1" s="1"/>
  <c r="D74" i="1"/>
  <c r="F73" i="1"/>
  <c r="E73" i="1"/>
  <c r="G73" i="1" s="1"/>
  <c r="D73" i="1"/>
  <c r="F72" i="1"/>
  <c r="E72" i="1"/>
  <c r="G72" i="1" s="1"/>
  <c r="D72" i="1"/>
  <c r="F71" i="1"/>
  <c r="E71" i="1"/>
  <c r="G71" i="1" s="1"/>
  <c r="D71" i="1"/>
  <c r="F70" i="1"/>
  <c r="E70" i="1"/>
  <c r="G70" i="1" s="1"/>
  <c r="D70" i="1"/>
  <c r="F69" i="1"/>
  <c r="E69" i="1"/>
  <c r="G69" i="1" s="1"/>
  <c r="D69" i="1"/>
  <c r="F68" i="1"/>
  <c r="E68" i="1"/>
  <c r="G68" i="1" s="1"/>
  <c r="D68" i="1"/>
  <c r="F67" i="1"/>
  <c r="E67" i="1"/>
  <c r="G67" i="1" s="1"/>
  <c r="D67" i="1"/>
  <c r="F66" i="1"/>
  <c r="E66" i="1"/>
  <c r="G66" i="1" s="1"/>
  <c r="D66" i="1"/>
  <c r="F65" i="1"/>
  <c r="E65" i="1"/>
  <c r="G65" i="1" s="1"/>
  <c r="D65" i="1"/>
  <c r="F64" i="1"/>
  <c r="E64" i="1"/>
  <c r="G64" i="1" s="1"/>
  <c r="D64" i="1"/>
  <c r="F63" i="1"/>
  <c r="E63" i="1"/>
  <c r="G63" i="1" s="1"/>
  <c r="D63" i="1"/>
  <c r="F62" i="1"/>
  <c r="E62" i="1"/>
  <c r="G62" i="1" s="1"/>
  <c r="D62" i="1"/>
  <c r="F61" i="1"/>
  <c r="E61" i="1"/>
  <c r="G61" i="1" s="1"/>
  <c r="D61" i="1"/>
  <c r="F60" i="1"/>
  <c r="E60" i="1"/>
  <c r="G60" i="1" s="1"/>
  <c r="D60" i="1"/>
  <c r="G59" i="1"/>
  <c r="F59" i="1"/>
  <c r="E59" i="1"/>
  <c r="D59" i="1"/>
  <c r="F58" i="1"/>
  <c r="E58" i="1"/>
  <c r="G58" i="1" s="1"/>
  <c r="D58" i="1"/>
  <c r="F57" i="1"/>
  <c r="E57" i="1"/>
  <c r="G57" i="1" s="1"/>
  <c r="D57" i="1"/>
  <c r="F56" i="1"/>
  <c r="E56" i="1"/>
  <c r="G56" i="1" s="1"/>
  <c r="D56" i="1"/>
  <c r="F55" i="1"/>
  <c r="E55" i="1"/>
  <c r="G55" i="1" s="1"/>
  <c r="D55" i="1"/>
  <c r="F54" i="1"/>
  <c r="E54" i="1"/>
  <c r="G54" i="1" s="1"/>
  <c r="D54" i="1"/>
  <c r="F53" i="1"/>
  <c r="E53" i="1"/>
  <c r="G53" i="1" s="1"/>
  <c r="D53" i="1"/>
  <c r="F52" i="1"/>
  <c r="E52" i="1"/>
  <c r="G52" i="1" s="1"/>
  <c r="D52" i="1"/>
  <c r="F51" i="1"/>
  <c r="E51" i="1"/>
  <c r="G51" i="1" s="1"/>
  <c r="D51" i="1"/>
  <c r="F50" i="1"/>
  <c r="E50" i="1"/>
  <c r="G50" i="1" s="1"/>
  <c r="D50" i="1"/>
  <c r="F49" i="1"/>
  <c r="E49" i="1"/>
  <c r="G49" i="1" s="1"/>
  <c r="D49" i="1"/>
  <c r="F48" i="1"/>
  <c r="E48" i="1"/>
  <c r="G48" i="1" s="1"/>
  <c r="D48" i="1"/>
  <c r="F47" i="1"/>
  <c r="E47" i="1"/>
  <c r="G47" i="1" s="1"/>
  <c r="D47" i="1"/>
  <c r="F46" i="1"/>
  <c r="E46" i="1"/>
  <c r="G46" i="1" s="1"/>
  <c r="D46" i="1"/>
  <c r="F45" i="1"/>
  <c r="E45" i="1"/>
  <c r="G45" i="1" s="1"/>
  <c r="D45" i="1"/>
  <c r="F44" i="1"/>
  <c r="E44" i="1"/>
  <c r="G44" i="1" s="1"/>
  <c r="D44" i="1"/>
  <c r="F43" i="1"/>
  <c r="E43" i="1"/>
  <c r="G43" i="1" s="1"/>
  <c r="D43" i="1"/>
  <c r="F42" i="1"/>
  <c r="E42" i="1"/>
  <c r="G42" i="1" s="1"/>
  <c r="D42" i="1"/>
  <c r="F41" i="1"/>
  <c r="E41" i="1"/>
  <c r="G41" i="1" s="1"/>
  <c r="D41" i="1"/>
  <c r="F40" i="1"/>
  <c r="E40" i="1"/>
  <c r="G40" i="1" s="1"/>
  <c r="D40" i="1"/>
  <c r="F39" i="1"/>
  <c r="E39" i="1"/>
  <c r="G39" i="1" s="1"/>
  <c r="D39" i="1"/>
  <c r="F38" i="1"/>
  <c r="E38" i="1"/>
  <c r="G38" i="1" s="1"/>
  <c r="D38" i="1"/>
  <c r="F37" i="1"/>
  <c r="E37" i="1"/>
  <c r="G37" i="1" s="1"/>
  <c r="D37" i="1"/>
  <c r="F36" i="1"/>
  <c r="E36" i="1"/>
  <c r="G36" i="1" s="1"/>
  <c r="D36" i="1"/>
  <c r="F35" i="1"/>
  <c r="E35" i="1"/>
  <c r="G35" i="1" s="1"/>
  <c r="D35" i="1"/>
  <c r="F34" i="1"/>
  <c r="E34" i="1"/>
  <c r="G34" i="1" s="1"/>
  <c r="D34" i="1"/>
  <c r="F33" i="1"/>
  <c r="E33" i="1"/>
  <c r="G33" i="1" s="1"/>
  <c r="D33" i="1"/>
  <c r="F32" i="1"/>
  <c r="E32" i="1"/>
  <c r="G32" i="1" s="1"/>
  <c r="D32" i="1"/>
  <c r="F31" i="1"/>
  <c r="E31" i="1"/>
  <c r="G31" i="1" s="1"/>
  <c r="D31" i="1"/>
  <c r="F30" i="1"/>
  <c r="E30" i="1"/>
  <c r="G30" i="1" s="1"/>
  <c r="D30" i="1"/>
  <c r="F29" i="1"/>
  <c r="E29" i="1"/>
  <c r="G29" i="1" s="1"/>
  <c r="D29" i="1"/>
  <c r="F28" i="1"/>
  <c r="E28" i="1"/>
  <c r="G28" i="1" s="1"/>
  <c r="D28" i="1"/>
  <c r="F27" i="1"/>
  <c r="E27" i="1"/>
  <c r="G27" i="1" s="1"/>
  <c r="D27" i="1"/>
  <c r="F26" i="1"/>
  <c r="E26" i="1"/>
  <c r="G26" i="1" s="1"/>
  <c r="D26" i="1"/>
  <c r="F25" i="1"/>
  <c r="E25" i="1"/>
  <c r="G25" i="1" s="1"/>
  <c r="D25" i="1"/>
  <c r="F24" i="1"/>
  <c r="E24" i="1"/>
  <c r="G24" i="1" s="1"/>
  <c r="D24" i="1"/>
  <c r="F23" i="1"/>
  <c r="E23" i="1"/>
  <c r="G23" i="1" s="1"/>
  <c r="D23" i="1"/>
  <c r="F22" i="1"/>
  <c r="E22" i="1"/>
  <c r="G22" i="1" s="1"/>
  <c r="D22" i="1"/>
  <c r="F21" i="1"/>
  <c r="E21" i="1"/>
  <c r="G21" i="1" s="1"/>
  <c r="D21" i="1"/>
  <c r="F20" i="1"/>
  <c r="E20" i="1"/>
  <c r="G20" i="1" s="1"/>
  <c r="D20" i="1"/>
  <c r="F19" i="1"/>
  <c r="E19" i="1"/>
  <c r="G19" i="1" s="1"/>
  <c r="D19" i="1"/>
  <c r="F18" i="1"/>
  <c r="E18" i="1"/>
  <c r="G18" i="1" s="1"/>
  <c r="D18" i="1"/>
  <c r="F17" i="1"/>
  <c r="E17" i="1"/>
  <c r="G17" i="1" s="1"/>
  <c r="D17" i="1"/>
  <c r="F16" i="1"/>
  <c r="E16" i="1"/>
  <c r="G16" i="1" s="1"/>
  <c r="D16" i="1"/>
  <c r="F15" i="1"/>
  <c r="E15" i="1"/>
  <c r="G15" i="1" s="1"/>
  <c r="D15" i="1"/>
  <c r="F14" i="1"/>
  <c r="E14" i="1"/>
  <c r="G14" i="1" s="1"/>
  <c r="D14" i="1"/>
  <c r="F13" i="1"/>
  <c r="E13" i="1"/>
  <c r="G13" i="1" s="1"/>
  <c r="D13" i="1"/>
  <c r="F12" i="1"/>
  <c r="E12" i="1"/>
  <c r="G12" i="1" s="1"/>
  <c r="D12" i="1"/>
  <c r="F11" i="1"/>
  <c r="E11" i="1"/>
  <c r="G11" i="1" s="1"/>
  <c r="D11" i="1"/>
  <c r="F10" i="1"/>
  <c r="E10" i="1"/>
  <c r="G10" i="1" s="1"/>
  <c r="D10" i="1"/>
  <c r="F9" i="1"/>
  <c r="E9" i="1"/>
  <c r="G9" i="1" s="1"/>
  <c r="D9" i="1"/>
  <c r="F8" i="1"/>
  <c r="E8" i="1"/>
  <c r="G8" i="1" s="1"/>
  <c r="D8" i="1"/>
  <c r="F7" i="1"/>
  <c r="F2" i="1" s="1"/>
  <c r="E7" i="1"/>
  <c r="E2" i="1" s="1"/>
  <c r="D7" i="1"/>
  <c r="D2" i="1" s="1"/>
  <c r="F6" i="1"/>
  <c r="E6" i="1"/>
  <c r="G6" i="1" s="1"/>
  <c r="D6" i="1"/>
  <c r="F5" i="1"/>
  <c r="E5" i="1"/>
  <c r="G5" i="1" s="1"/>
  <c r="D5" i="1"/>
  <c r="F4" i="1"/>
  <c r="E4" i="1"/>
  <c r="G4" i="1" s="1"/>
  <c r="D4" i="1"/>
  <c r="F3" i="1"/>
  <c r="E3" i="1"/>
  <c r="G3" i="1" s="1"/>
  <c r="D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Q85" i="1" l="1"/>
  <c r="U85" i="1" s="1"/>
  <c r="W85" i="1" s="1"/>
  <c r="Q86" i="1"/>
  <c r="Q52" i="1"/>
  <c r="U52" i="1" s="1"/>
  <c r="W52" i="1" s="1"/>
  <c r="Q20" i="1"/>
  <c r="V20" i="1" s="1"/>
  <c r="Q75" i="1"/>
  <c r="V75" i="1" s="1"/>
  <c r="Q11" i="1"/>
  <c r="Q62" i="1"/>
  <c r="U62" i="1" s="1"/>
  <c r="W62" i="1" s="1"/>
  <c r="Q61" i="1"/>
  <c r="Q29" i="1"/>
  <c r="Q58" i="1"/>
  <c r="Q26" i="1"/>
  <c r="U38" i="1"/>
  <c r="W38" i="1" s="1"/>
  <c r="Q64" i="1"/>
  <c r="U64" i="1" s="1"/>
  <c r="W64" i="1" s="1"/>
  <c r="V39" i="1"/>
  <c r="U39" i="1"/>
  <c r="W39" i="1" s="1"/>
  <c r="Q49" i="1"/>
  <c r="U49" i="1" s="1"/>
  <c r="W49" i="1" s="1"/>
  <c r="Q48" i="1"/>
  <c r="Q47" i="1"/>
  <c r="Q46" i="1"/>
  <c r="V46" i="1" s="1"/>
  <c r="U40" i="1"/>
  <c r="W40" i="1" s="1"/>
  <c r="V9" i="1"/>
  <c r="Q97" i="1"/>
  <c r="V97" i="1" s="1"/>
  <c r="V48" i="1"/>
  <c r="U48" i="1"/>
  <c r="W48" i="1" s="1"/>
  <c r="V47" i="1"/>
  <c r="U47" i="1"/>
  <c r="W47" i="1" s="1"/>
  <c r="V19" i="1"/>
  <c r="U19" i="1"/>
  <c r="W19" i="1" s="1"/>
  <c r="V41" i="1"/>
  <c r="U41" i="1"/>
  <c r="W41" i="1" s="1"/>
  <c r="V86" i="1"/>
  <c r="U86" i="1"/>
  <c r="W86" i="1" s="1"/>
  <c r="U20" i="1"/>
  <c r="W20" i="1" s="1"/>
  <c r="Q87" i="1"/>
  <c r="U87" i="1" s="1"/>
  <c r="W87" i="1" s="1"/>
  <c r="Q55" i="1"/>
  <c r="U55" i="1" s="1"/>
  <c r="W55" i="1" s="1"/>
  <c r="Q23" i="1"/>
  <c r="U23" i="1" s="1"/>
  <c r="W23" i="1" s="1"/>
  <c r="Q54" i="1"/>
  <c r="V54" i="1" s="1"/>
  <c r="Q22" i="1"/>
  <c r="U22" i="1" s="1"/>
  <c r="W22" i="1" s="1"/>
  <c r="Q84" i="1"/>
  <c r="V84" i="1" s="1"/>
  <c r="W81" i="1"/>
  <c r="Q67" i="1"/>
  <c r="U67" i="1" s="1"/>
  <c r="W67" i="1" s="1"/>
  <c r="U68" i="1"/>
  <c r="W68" i="1" s="1"/>
  <c r="Q10" i="1"/>
  <c r="V10" i="1" s="1"/>
  <c r="Q98" i="1"/>
  <c r="Q66" i="1"/>
  <c r="V66" i="1" s="1"/>
  <c r="Q34" i="1"/>
  <c r="V34" i="1" s="1"/>
  <c r="V70" i="1"/>
  <c r="Q96" i="1"/>
  <c r="V96" i="1" s="1"/>
  <c r="Q32" i="1"/>
  <c r="U32" i="1" s="1"/>
  <c r="W32" i="1" s="1"/>
  <c r="U3" i="1"/>
  <c r="W3" i="1" s="1"/>
  <c r="V61" i="1"/>
  <c r="U61" i="1"/>
  <c r="W61" i="1" s="1"/>
  <c r="V29" i="1"/>
  <c r="U29" i="1"/>
  <c r="W29" i="1" s="1"/>
  <c r="U90" i="1"/>
  <c r="W90" i="1" s="1"/>
  <c r="V90" i="1"/>
  <c r="V58" i="1"/>
  <c r="U58" i="1"/>
  <c r="W58" i="1" s="1"/>
  <c r="U26" i="1"/>
  <c r="W26" i="1" s="1"/>
  <c r="V26" i="1"/>
  <c r="V89" i="1"/>
  <c r="U89" i="1"/>
  <c r="W89" i="1" s="1"/>
  <c r="V57" i="1"/>
  <c r="U57" i="1"/>
  <c r="W57" i="1" s="1"/>
  <c r="U24" i="1"/>
  <c r="W24" i="1" s="1"/>
  <c r="V24" i="1"/>
  <c r="V45" i="1"/>
  <c r="U45" i="1"/>
  <c r="W45" i="1" s="1"/>
  <c r="U95" i="1"/>
  <c r="W95" i="1" s="1"/>
  <c r="V95" i="1"/>
  <c r="U51" i="1"/>
  <c r="W51" i="1" s="1"/>
  <c r="V51" i="1"/>
  <c r="U44" i="1"/>
  <c r="W44" i="1" s="1"/>
  <c r="V44" i="1"/>
  <c r="V11" i="1"/>
  <c r="U11" i="1"/>
  <c r="W11" i="1" s="1"/>
  <c r="U42" i="1"/>
  <c r="W42" i="1" s="1"/>
  <c r="V42" i="1"/>
  <c r="U94" i="1"/>
  <c r="W94" i="1" s="1"/>
  <c r="V94" i="1"/>
  <c r="V78" i="1"/>
  <c r="U78" i="1"/>
  <c r="W78" i="1" s="1"/>
  <c r="V12" i="1"/>
  <c r="U12" i="1"/>
  <c r="W12" i="1" s="1"/>
  <c r="V77" i="1"/>
  <c r="U77" i="1"/>
  <c r="W77" i="1" s="1"/>
  <c r="U43" i="1"/>
  <c r="W43" i="1" s="1"/>
  <c r="V43" i="1"/>
  <c r="U18" i="1"/>
  <c r="W18" i="1" s="1"/>
  <c r="V18" i="1"/>
  <c r="U98" i="1"/>
  <c r="W98" i="1" s="1"/>
  <c r="V98" i="1"/>
  <c r="V76" i="1"/>
  <c r="U76" i="1"/>
  <c r="W76" i="1" s="1"/>
  <c r="Q33" i="1"/>
  <c r="U30" i="1"/>
  <c r="W30" i="1" s="1"/>
  <c r="Q17" i="1"/>
  <c r="U31" i="1"/>
  <c r="W31" i="1" s="1"/>
  <c r="U50" i="1"/>
  <c r="W50" i="1" s="1"/>
  <c r="U69" i="1"/>
  <c r="W69" i="1" s="1"/>
  <c r="U88" i="1"/>
  <c r="W88" i="1" s="1"/>
  <c r="Q35" i="1"/>
  <c r="U79" i="1"/>
  <c r="W79" i="1" s="1"/>
  <c r="U13" i="1"/>
  <c r="W13" i="1" s="1"/>
  <c r="V4" i="1"/>
  <c r="V71" i="1"/>
  <c r="U72" i="1"/>
  <c r="W72" i="1" s="1"/>
  <c r="U15" i="1"/>
  <c r="W15" i="1" s="1"/>
  <c r="U101" i="1"/>
  <c r="W101" i="1" s="1"/>
  <c r="Q59" i="1"/>
  <c r="V64" i="1"/>
  <c r="V83" i="1"/>
  <c r="U102" i="1"/>
  <c r="W102" i="1" s="1"/>
  <c r="Q65" i="1"/>
  <c r="U80" i="1"/>
  <c r="W80" i="1" s="1"/>
  <c r="V52" i="1"/>
  <c r="Q25" i="1"/>
  <c r="U16" i="1"/>
  <c r="W16" i="1" s="1"/>
  <c r="Q60" i="1"/>
  <c r="U7" i="1"/>
  <c r="W7" i="1" s="1"/>
  <c r="U36" i="1"/>
  <c r="W36" i="1" s="1"/>
  <c r="U74" i="1"/>
  <c r="W74" i="1" s="1"/>
  <c r="U14" i="1"/>
  <c r="W14" i="1" s="1"/>
  <c r="U100" i="1"/>
  <c r="W100" i="1" s="1"/>
  <c r="U6" i="1"/>
  <c r="W6" i="1" s="1"/>
  <c r="Q27" i="1"/>
  <c r="Q99" i="1"/>
  <c r="Q53" i="1"/>
  <c r="V81" i="1"/>
  <c r="U5" i="1"/>
  <c r="W5" i="1" s="1"/>
  <c r="Q91" i="1"/>
  <c r="V63" i="1"/>
  <c r="Q93" i="1"/>
  <c r="Q21" i="1"/>
  <c r="U82" i="1"/>
  <c r="W82" i="1" s="1"/>
  <c r="V73" i="1"/>
  <c r="Q28" i="1"/>
  <c r="U8" i="1"/>
  <c r="W8" i="1" s="1"/>
  <c r="U37" i="1"/>
  <c r="W37" i="1" s="1"/>
  <c r="U56" i="1"/>
  <c r="W56" i="1" s="1"/>
  <c r="U75" i="1"/>
  <c r="W75" i="1" s="1"/>
  <c r="Q92" i="1"/>
  <c r="O2" i="1"/>
  <c r="G7" i="1"/>
  <c r="G2" i="1" s="1"/>
  <c r="N2" i="1"/>
  <c r="J2" i="1"/>
  <c r="V85" i="1" l="1"/>
  <c r="V62" i="1"/>
  <c r="V49" i="1"/>
  <c r="U97" i="1"/>
  <c r="W97" i="1" s="1"/>
  <c r="U46" i="1"/>
  <c r="W46" i="1" s="1"/>
  <c r="V22" i="1"/>
  <c r="V55" i="1"/>
  <c r="U54" i="1"/>
  <c r="W54" i="1" s="1"/>
  <c r="V32" i="1"/>
  <c r="V23" i="1"/>
  <c r="U10" i="1"/>
  <c r="W10" i="1" s="1"/>
  <c r="U96" i="1"/>
  <c r="W96" i="1" s="1"/>
  <c r="V87" i="1"/>
  <c r="U84" i="1"/>
  <c r="W84" i="1" s="1"/>
  <c r="U34" i="1"/>
  <c r="W34" i="1" s="1"/>
  <c r="U66" i="1"/>
  <c r="W66" i="1" s="1"/>
  <c r="V67" i="1"/>
  <c r="V27" i="1"/>
  <c r="U27" i="1"/>
  <c r="W27" i="1" s="1"/>
  <c r="U25" i="1"/>
  <c r="W25" i="1" s="1"/>
  <c r="V25" i="1"/>
  <c r="V21" i="1"/>
  <c r="U21" i="1"/>
  <c r="W21" i="1" s="1"/>
  <c r="V93" i="1"/>
  <c r="U93" i="1"/>
  <c r="W93" i="1" s="1"/>
  <c r="V17" i="1"/>
  <c r="U17" i="1"/>
  <c r="W17" i="1" s="1"/>
  <c r="Q2" i="1"/>
  <c r="U92" i="1"/>
  <c r="W92" i="1" s="1"/>
  <c r="V92" i="1"/>
  <c r="V59" i="1"/>
  <c r="U59" i="1"/>
  <c r="W59" i="1" s="1"/>
  <c r="V35" i="1"/>
  <c r="U35" i="1"/>
  <c r="W35" i="1" s="1"/>
  <c r="V60" i="1"/>
  <c r="U60" i="1"/>
  <c r="W60" i="1" s="1"/>
  <c r="V65" i="1"/>
  <c r="U65" i="1"/>
  <c r="W65" i="1" s="1"/>
  <c r="U28" i="1"/>
  <c r="W28" i="1" s="1"/>
  <c r="V28" i="1"/>
  <c r="V91" i="1"/>
  <c r="U91" i="1"/>
  <c r="W91" i="1" s="1"/>
  <c r="V53" i="1"/>
  <c r="U53" i="1"/>
  <c r="W53" i="1" s="1"/>
  <c r="V99" i="1"/>
  <c r="U99" i="1"/>
  <c r="W99" i="1" s="1"/>
  <c r="U33" i="1"/>
  <c r="W33" i="1" s="1"/>
  <c r="V33" i="1"/>
  <c r="V2" i="1" l="1"/>
  <c r="W2" i="1"/>
  <c r="U2" i="1"/>
</calcChain>
</file>

<file path=xl/sharedStrings.xml><?xml version="1.0" encoding="utf-8"?>
<sst xmlns="http://schemas.openxmlformats.org/spreadsheetml/2006/main" count="108" uniqueCount="106">
  <si>
    <t>Path(['Xmean', 'add_noise']A)</t>
  </si>
  <si>
    <t>Path(['Xmean', 'add_noise']B)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</si>
  <si>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</si>
  <si>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</si>
  <si>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</si>
  <si>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</si>
  <si>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</si>
  <si>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</si>
  <si>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</si>
  <si>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</si>
  <si>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</si>
  <si>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</si>
  <si>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</si>
  <si>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</si>
  <si>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</si>
  <si>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</si>
  <si>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</si>
  <si>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</si>
  <si>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</si>
  <si>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</si>
  <si>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</si>
  <si>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</si>
  <si>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</si>
  <si>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</si>
  <si>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</si>
  <si>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</si>
  <si>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</si>
  <si>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</si>
  <si>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</si>
  <si>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</si>
  <si>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</si>
  <si>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</si>
  <si>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</si>
  <si>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</si>
  <si>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</si>
  <si>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</si>
  <si>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</si>
  <si>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</si>
  <si>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</si>
  <si>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</si>
  <si>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</si>
  <si>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</si>
  <si>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</si>
  <si>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</si>
  <si>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</si>
  <si>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</si>
  <si>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</si>
  <si>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</si>
  <si>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</si>
  <si>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</si>
  <si>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</si>
  <si>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</si>
  <si>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</si>
  <si>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</si>
  <si>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</si>
  <si>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</si>
  <si>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</si>
  <si>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</si>
  <si>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</si>
  <si>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</si>
  <si>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</si>
  <si>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</si>
  <si>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</si>
  <si>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</si>
  <si>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</si>
  <si>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</si>
  <si>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</si>
  <si>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</si>
  <si>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</si>
  <si>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</si>
  <si>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</si>
  <si>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</si>
  <si>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</si>
  <si>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</si>
  <si>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</si>
  <si>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</si>
  <si>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</si>
  <si>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</si>
  <si>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</si>
  <si>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</si>
  <si>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</si>
  <si>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</si>
  <si>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</si>
  <si>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</si>
  <si>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</si>
  <si>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</si>
  <si>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</si>
  <si>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</si>
  <si>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</si>
  <si>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</si>
  <si>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</si>
  <si>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</si>
  <si>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</si>
  <si>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</si>
  <si>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</si>
  <si>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</si>
  <si>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</si>
  <si>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</si>
  <si>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</si>
  <si>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</si>
  <si>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</si>
  <si>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</si>
  <si>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Path(['']A)</t>
  </si>
  <si>
    <t>Path(['']B)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</si>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</sst>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center"/>
    </xf>
    <xf numFmtId="0" fontId="0" fillId="0" borderId="5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03"/>
  <sheetViews>
    <sheetView tabSelected="1" topLeftCell="G1" zoomScale="70" zoomScaleNormal="70" workbookViewId="0">
      <selection activeCell="O1" sqref="O1:Q1048576"/>
    </sheetView>
  </sheetViews>
  <sheetFormatPr defaultRowHeight="14.5" x14ac:dyDescent="0.35"/>
  <cols>
    <col min="1" max="1" width="8.81640625" bestFit="1" customWidth="1"/>
    <col min="2" max="2" width="18.1796875" bestFit="1" customWidth="1"/>
    <col min="3" max="3" width="18.08984375" bestFit="1" customWidth="1"/>
    <col min="4" max="5" width="18.08984375" customWidth="1"/>
    <col min="6" max="6" width="18.08984375" bestFit="1" customWidth="1"/>
    <col min="7" max="7" width="18.1796875" bestFit="1" customWidth="1"/>
    <col min="8" max="8" width="26.08984375" bestFit="1" customWidth="1"/>
    <col min="9" max="9" width="26" bestFit="1" customWidth="1"/>
    <col min="10" max="10" width="18.1796875" bestFit="1" customWidth="1"/>
    <col min="11" max="11" width="18.1796875" customWidth="1"/>
    <col min="12" max="12" width="26" bestFit="1" customWidth="1"/>
    <col min="13" max="13" width="26.08984375" bestFit="1" customWidth="1"/>
    <col min="14" max="14" width="18.08984375" bestFit="1" customWidth="1"/>
    <col min="15" max="16" width="18.08984375" customWidth="1"/>
    <col min="17" max="17" width="18.1796875" bestFit="1" customWidth="1"/>
    <col min="18" max="18" width="18.08984375" bestFit="1" customWidth="1"/>
    <col min="19" max="19" width="18.08984375" customWidth="1"/>
    <col min="20" max="20" width="18.08984375" bestFit="1" customWidth="1"/>
    <col min="21" max="21" width="18.1796875" bestFit="1" customWidth="1"/>
    <col min="22" max="22" width="18.08984375" customWidth="1"/>
    <col min="23" max="23" width="18.1796875" bestFit="1" customWidth="1"/>
  </cols>
  <sheetData>
    <row r="2" spans="1:23" x14ac:dyDescent="0.35">
      <c r="B2" s="2" t="s">
        <v>102</v>
      </c>
      <c r="C2" s="2" t="s">
        <v>103</v>
      </c>
      <c r="D2">
        <f>SUM(D3:D102)</f>
        <v>67</v>
      </c>
      <c r="E2" s="3">
        <f>SUM(E3:E102)</f>
        <v>32</v>
      </c>
      <c r="F2" s="4">
        <f>SUM(F3:F102)</f>
        <v>3</v>
      </c>
      <c r="G2">
        <f>SUM(G3:G102)</f>
        <v>65</v>
      </c>
      <c r="H2" s="1" t="s">
        <v>0</v>
      </c>
      <c r="I2" s="1" t="s">
        <v>1</v>
      </c>
      <c r="J2" s="1">
        <f>SUM(J3:J102)</f>
        <v>88</v>
      </c>
      <c r="K2" s="1"/>
      <c r="L2" s="1" t="s">
        <v>1</v>
      </c>
      <c r="M2" s="1" t="s">
        <v>0</v>
      </c>
      <c r="N2" s="1">
        <f>SUM(N3:N102)</f>
        <v>42</v>
      </c>
      <c r="O2" s="3">
        <f>SUM(O3:O102)</f>
        <v>13</v>
      </c>
      <c r="P2" s="4">
        <f>SUM(P3:P102)</f>
        <v>11</v>
      </c>
      <c r="Q2">
        <f>SUM(Q3:Q102)</f>
        <v>41</v>
      </c>
      <c r="R2" s="6" t="s">
        <v>104</v>
      </c>
      <c r="S2" s="7" t="s">
        <v>105</v>
      </c>
      <c r="T2">
        <f>SUM(T3:T102)</f>
        <v>60</v>
      </c>
      <c r="U2" s="3">
        <f>SUM(U3:U102)</f>
        <v>26</v>
      </c>
      <c r="V2" s="4">
        <f>SUM(V3:V102)</f>
        <v>15</v>
      </c>
      <c r="W2" s="8">
        <f>SUM(W3:W102)</f>
        <v>71</v>
      </c>
    </row>
    <row r="3" spans="1:23" x14ac:dyDescent="0.35">
      <c r="A3" s="1" t="s">
        <v>2</v>
      </c>
      <c r="B3">
        <v>1040430.585464334</v>
      </c>
      <c r="C3">
        <v>7298.8640646029608</v>
      </c>
      <c r="D3">
        <f>IF(C3&lt;B3, 1,0)</f>
        <v>1</v>
      </c>
      <c r="E3">
        <f>IF(AND(C3&lt;B3,(B3-C3)&gt;(C3*2)),1,0)</f>
        <v>1</v>
      </c>
      <c r="F3">
        <f>IF(AND(B3&lt;C3,(C3-B3)&gt;(B3*2)),1,0)</f>
        <v>0</v>
      </c>
      <c r="G3">
        <f>IF(E3+F3=0,1,0)</f>
        <v>0</v>
      </c>
      <c r="H3">
        <v>488770.15568247979</v>
      </c>
      <c r="I3">
        <v>1967.2032572074299</v>
      </c>
      <c r="J3">
        <f>IF(I3&lt;H3,1,0)</f>
        <v>1</v>
      </c>
      <c r="L3">
        <v>573.58171882762042</v>
      </c>
      <c r="M3">
        <v>51385.663093277457</v>
      </c>
      <c r="N3">
        <f>IF(M3&gt;L3,1,0)</f>
        <v>1</v>
      </c>
      <c r="O3">
        <f>IF(AND(G3=1,ABS(H3-M3)&gt;1.5*ABS(L3-I3)),1,0)</f>
        <v>0</v>
      </c>
      <c r="P3">
        <f>IF(AND(G3=1, 1.5*ABS(H3-M3)&lt;ABS(L3-I3)),1,0)</f>
        <v>0</v>
      </c>
      <c r="Q3">
        <f>IF(AND(G3=1, O3+P3=0),1,0)</f>
        <v>0</v>
      </c>
      <c r="R3">
        <v>1.3508534699770264E-3</v>
      </c>
      <c r="S3">
        <v>1.647591193499318E-3</v>
      </c>
      <c r="T3">
        <f>IF(R3&lt;S3,1,0)</f>
        <v>1</v>
      </c>
      <c r="U3">
        <f>IF(AND(Q3=1, R3&lt;S3),1,0)</f>
        <v>0</v>
      </c>
      <c r="V3">
        <f>IF(AND(Q3=1, R3&gt;S3),1,0)</f>
        <v>0</v>
      </c>
      <c r="W3" s="9">
        <f>IF(E3+O3+U3=1,1,0)</f>
        <v>1</v>
      </c>
    </row>
    <row r="4" spans="1:23" x14ac:dyDescent="0.35">
      <c r="A4" s="1" t="s">
        <v>3</v>
      </c>
      <c r="B4">
        <v>951303.54716981133</v>
      </c>
      <c r="C4">
        <v>1040139.918867924</v>
      </c>
      <c r="D4">
        <f t="shared" ref="D4:D67" si="0">IF(C4&lt;B4, 1,0)</f>
        <v>0</v>
      </c>
      <c r="E4">
        <f t="shared" ref="E4:E67" si="1">IF(AND(C4&lt;B4,(B4-C4)&gt;(C4*2)),1,0)</f>
        <v>0</v>
      </c>
      <c r="F4">
        <f t="shared" ref="F4:F67" si="2">IF(AND(B4&lt;C4,(C4-B4)&gt;(B4*2)),1,0)</f>
        <v>0</v>
      </c>
      <c r="G4">
        <f t="shared" ref="G4:G67" si="3">IF(E4+F4=0,1,0)</f>
        <v>1</v>
      </c>
      <c r="H4">
        <v>439005.18359890103</v>
      </c>
      <c r="I4">
        <v>265206.48938365659</v>
      </c>
      <c r="J4">
        <f t="shared" ref="J4:J67" si="4">IF(I4&lt;H4,1,0)</f>
        <v>1</v>
      </c>
      <c r="L4">
        <v>503500.94967930758</v>
      </c>
      <c r="M4">
        <v>244515.69933693149</v>
      </c>
      <c r="N4">
        <f t="shared" ref="N4:N67" si="5">IF(M4&gt;L4,1,0)</f>
        <v>0</v>
      </c>
      <c r="O4">
        <f t="shared" ref="O4:O67" si="6">IF(AND(G4=1,ABS(H4-M4)&gt;1.5*ABS(L4-I4)),1,0)</f>
        <v>0</v>
      </c>
      <c r="P4">
        <f t="shared" ref="P4:P67" si="7">IF(AND(G4=1, 1.5*ABS(H4-M4)&lt;ABS(L4-I4)),1,0)</f>
        <v>0</v>
      </c>
      <c r="Q4">
        <f t="shared" ref="Q4:Q67" si="8">IF(AND(G4=1, O4+P4=0),1,0)</f>
        <v>1</v>
      </c>
      <c r="R4">
        <v>3.711688743225422E-2</v>
      </c>
      <c r="S4">
        <v>4.697860623152314E-2</v>
      </c>
      <c r="T4">
        <f t="shared" ref="T4:T67" si="9">IF(R4&lt;S4,1,0)</f>
        <v>1</v>
      </c>
      <c r="U4">
        <f t="shared" ref="U4:U67" si="10">IF(AND(Q4=1, R4&lt;S4),1,0)</f>
        <v>1</v>
      </c>
      <c r="V4">
        <f t="shared" ref="V4:V67" si="11">IF(AND(Q4=1, R4&gt;S4),1,0)</f>
        <v>0</v>
      </c>
      <c r="W4" s="9">
        <f t="shared" ref="W4:W67" si="12">IF(E4+O4+U4=1,1,0)</f>
        <v>1</v>
      </c>
    </row>
    <row r="5" spans="1:23" x14ac:dyDescent="0.35">
      <c r="A5" s="1" t="s">
        <v>4</v>
      </c>
      <c r="B5">
        <v>1989306.6886016449</v>
      </c>
      <c r="C5">
        <v>571296.68507638073</v>
      </c>
      <c r="D5">
        <f t="shared" si="0"/>
        <v>1</v>
      </c>
      <c r="E5">
        <f t="shared" si="1"/>
        <v>1</v>
      </c>
      <c r="F5">
        <f t="shared" si="2"/>
        <v>0</v>
      </c>
      <c r="G5">
        <f t="shared" si="3"/>
        <v>0</v>
      </c>
      <c r="H5">
        <v>854235.16254477785</v>
      </c>
      <c r="I5">
        <v>385882.25980659231</v>
      </c>
      <c r="J5">
        <f t="shared" si="4"/>
        <v>1</v>
      </c>
      <c r="L5">
        <v>163787.65556475689</v>
      </c>
      <c r="M5">
        <v>545500.99109128583</v>
      </c>
      <c r="N5">
        <f t="shared" si="5"/>
        <v>1</v>
      </c>
      <c r="O5">
        <f t="shared" si="6"/>
        <v>0</v>
      </c>
      <c r="P5">
        <f t="shared" si="7"/>
        <v>0</v>
      </c>
      <c r="Q5">
        <f t="shared" si="8"/>
        <v>0</v>
      </c>
      <c r="R5">
        <v>1.5510010871531055E-3</v>
      </c>
      <c r="S5">
        <v>2.9636862384429582E-2</v>
      </c>
      <c r="T5">
        <f t="shared" si="9"/>
        <v>1</v>
      </c>
      <c r="U5">
        <f t="shared" si="10"/>
        <v>0</v>
      </c>
      <c r="V5">
        <f t="shared" si="11"/>
        <v>0</v>
      </c>
      <c r="W5" s="9">
        <f t="shared" si="12"/>
        <v>1</v>
      </c>
    </row>
    <row r="6" spans="1:23" x14ac:dyDescent="0.35">
      <c r="A6" s="1" t="s">
        <v>5</v>
      </c>
      <c r="B6">
        <v>258861.04513888891</v>
      </c>
      <c r="C6">
        <v>596786.4930555555</v>
      </c>
      <c r="D6">
        <f t="shared" si="0"/>
        <v>0</v>
      </c>
      <c r="E6">
        <f t="shared" si="1"/>
        <v>0</v>
      </c>
      <c r="F6">
        <f t="shared" si="2"/>
        <v>0</v>
      </c>
      <c r="G6">
        <f t="shared" si="3"/>
        <v>1</v>
      </c>
      <c r="H6">
        <v>88921.385975072539</v>
      </c>
      <c r="I6">
        <v>129949.1543859326</v>
      </c>
      <c r="J6">
        <f t="shared" si="4"/>
        <v>0</v>
      </c>
      <c r="L6">
        <v>201777.07199653779</v>
      </c>
      <c r="M6">
        <v>56683.506720701829</v>
      </c>
      <c r="N6">
        <f t="shared" si="5"/>
        <v>0</v>
      </c>
      <c r="O6">
        <f t="shared" si="6"/>
        <v>0</v>
      </c>
      <c r="P6">
        <f t="shared" si="7"/>
        <v>1</v>
      </c>
      <c r="Q6">
        <f t="shared" si="8"/>
        <v>0</v>
      </c>
      <c r="R6">
        <v>3.8154361312657974E-2</v>
      </c>
      <c r="S6">
        <v>4.8588399269420282E-2</v>
      </c>
      <c r="T6">
        <f t="shared" si="9"/>
        <v>1</v>
      </c>
      <c r="U6">
        <f t="shared" si="10"/>
        <v>0</v>
      </c>
      <c r="V6">
        <f t="shared" si="11"/>
        <v>0</v>
      </c>
      <c r="W6" s="9">
        <f t="shared" si="12"/>
        <v>0</v>
      </c>
    </row>
    <row r="7" spans="1:23" x14ac:dyDescent="0.35">
      <c r="A7" s="1" t="s">
        <v>6</v>
      </c>
      <c r="B7">
        <v>1651393.097023153</v>
      </c>
      <c r="C7">
        <v>949537.57662624039</v>
      </c>
      <c r="D7">
        <f t="shared" si="0"/>
        <v>1</v>
      </c>
      <c r="E7">
        <f t="shared" si="1"/>
        <v>0</v>
      </c>
      <c r="F7">
        <f t="shared" si="2"/>
        <v>0</v>
      </c>
      <c r="G7">
        <f t="shared" si="3"/>
        <v>1</v>
      </c>
      <c r="H7">
        <v>607293.41989298887</v>
      </c>
      <c r="I7">
        <v>273575.62891363492</v>
      </c>
      <c r="J7">
        <f t="shared" si="4"/>
        <v>1</v>
      </c>
      <c r="L7">
        <v>343591.44847361062</v>
      </c>
      <c r="M7">
        <v>365874.62121435662</v>
      </c>
      <c r="N7">
        <f t="shared" si="5"/>
        <v>1</v>
      </c>
      <c r="O7">
        <f t="shared" si="6"/>
        <v>1</v>
      </c>
      <c r="P7">
        <f t="shared" si="7"/>
        <v>0</v>
      </c>
      <c r="Q7">
        <f t="shared" si="8"/>
        <v>0</v>
      </c>
      <c r="R7">
        <v>4.1261272674424407E-2</v>
      </c>
      <c r="S7">
        <v>2.552458916200755E-2</v>
      </c>
      <c r="T7">
        <f t="shared" si="9"/>
        <v>0</v>
      </c>
      <c r="U7">
        <f t="shared" si="10"/>
        <v>0</v>
      </c>
      <c r="V7">
        <f t="shared" si="11"/>
        <v>0</v>
      </c>
      <c r="W7" s="9">
        <f t="shared" si="12"/>
        <v>1</v>
      </c>
    </row>
    <row r="8" spans="1:23" x14ac:dyDescent="0.35">
      <c r="A8" s="1" t="s">
        <v>7</v>
      </c>
      <c r="B8">
        <v>1231757.6261808369</v>
      </c>
      <c r="C8">
        <v>1564113.823211876</v>
      </c>
      <c r="D8">
        <f t="shared" si="0"/>
        <v>0</v>
      </c>
      <c r="E8">
        <f t="shared" si="1"/>
        <v>0</v>
      </c>
      <c r="F8">
        <f t="shared" si="2"/>
        <v>0</v>
      </c>
      <c r="G8">
        <f t="shared" si="3"/>
        <v>1</v>
      </c>
      <c r="H8">
        <v>612478.5536788652</v>
      </c>
      <c r="I8">
        <v>379184.00743695028</v>
      </c>
      <c r="J8">
        <f t="shared" si="4"/>
        <v>1</v>
      </c>
      <c r="L8">
        <v>742518.85616972554</v>
      </c>
      <c r="M8">
        <v>312408.7595050321</v>
      </c>
      <c r="N8">
        <f t="shared" si="5"/>
        <v>0</v>
      </c>
      <c r="O8">
        <f t="shared" si="6"/>
        <v>0</v>
      </c>
      <c r="P8">
        <f t="shared" si="7"/>
        <v>0</v>
      </c>
      <c r="Q8">
        <f t="shared" si="8"/>
        <v>1</v>
      </c>
      <c r="R8">
        <v>3.7385925403052556E-3</v>
      </c>
      <c r="S8">
        <v>1.4818700181366074E-3</v>
      </c>
      <c r="T8">
        <f t="shared" si="9"/>
        <v>0</v>
      </c>
      <c r="U8">
        <f t="shared" si="10"/>
        <v>0</v>
      </c>
      <c r="V8">
        <f t="shared" si="11"/>
        <v>1</v>
      </c>
      <c r="W8" s="9">
        <f t="shared" si="12"/>
        <v>0</v>
      </c>
    </row>
    <row r="9" spans="1:23" x14ac:dyDescent="0.35">
      <c r="A9" s="1" t="s">
        <v>8</v>
      </c>
      <c r="B9">
        <v>1164888.2987872111</v>
      </c>
      <c r="C9">
        <v>1805948.584343991</v>
      </c>
      <c r="D9">
        <f t="shared" si="0"/>
        <v>0</v>
      </c>
      <c r="E9">
        <f t="shared" si="1"/>
        <v>0</v>
      </c>
      <c r="F9">
        <f t="shared" si="2"/>
        <v>0</v>
      </c>
      <c r="G9">
        <f t="shared" si="3"/>
        <v>1</v>
      </c>
      <c r="H9">
        <v>400939.44651933509</v>
      </c>
      <c r="I9">
        <v>426896.79652758408</v>
      </c>
      <c r="J9">
        <f t="shared" si="4"/>
        <v>0</v>
      </c>
      <c r="L9">
        <v>793334.04994821479</v>
      </c>
      <c r="M9">
        <v>322465.33193898888</v>
      </c>
      <c r="N9">
        <f t="shared" si="5"/>
        <v>0</v>
      </c>
      <c r="O9">
        <f t="shared" si="6"/>
        <v>0</v>
      </c>
      <c r="P9">
        <f t="shared" si="7"/>
        <v>1</v>
      </c>
      <c r="Q9">
        <f t="shared" si="8"/>
        <v>0</v>
      </c>
      <c r="R9">
        <v>1.1730222559474313E-2</v>
      </c>
      <c r="S9">
        <v>3.1206506267488526E-2</v>
      </c>
      <c r="T9">
        <f t="shared" si="9"/>
        <v>1</v>
      </c>
      <c r="U9">
        <f t="shared" si="10"/>
        <v>0</v>
      </c>
      <c r="V9">
        <f t="shared" si="11"/>
        <v>0</v>
      </c>
      <c r="W9" s="9">
        <f t="shared" si="12"/>
        <v>0</v>
      </c>
    </row>
    <row r="10" spans="1:23" x14ac:dyDescent="0.35">
      <c r="A10" s="1" t="s">
        <v>9</v>
      </c>
      <c r="B10">
        <v>1110776.0573012941</v>
      </c>
      <c r="C10">
        <v>2269.7615526802219</v>
      </c>
      <c r="D10">
        <f t="shared" si="0"/>
        <v>1</v>
      </c>
      <c r="E10">
        <f t="shared" si="1"/>
        <v>1</v>
      </c>
      <c r="F10">
        <f t="shared" si="2"/>
        <v>0</v>
      </c>
      <c r="G10">
        <f t="shared" si="3"/>
        <v>0</v>
      </c>
      <c r="H10">
        <v>507247.0964874163</v>
      </c>
      <c r="I10">
        <v>637.70053783110325</v>
      </c>
      <c r="J10">
        <f t="shared" si="4"/>
        <v>1</v>
      </c>
      <c r="L10">
        <v>222.51545036160419</v>
      </c>
      <c r="M10">
        <v>18771.686678889571</v>
      </c>
      <c r="N10">
        <f t="shared" si="5"/>
        <v>1</v>
      </c>
      <c r="O10">
        <f t="shared" si="6"/>
        <v>0</v>
      </c>
      <c r="P10">
        <f t="shared" si="7"/>
        <v>0</v>
      </c>
      <c r="Q10">
        <f t="shared" si="8"/>
        <v>0</v>
      </c>
      <c r="R10">
        <v>7.252212350796032E-4</v>
      </c>
      <c r="S10">
        <v>0.12624826623582461</v>
      </c>
      <c r="T10">
        <f t="shared" si="9"/>
        <v>1</v>
      </c>
      <c r="U10">
        <f t="shared" si="10"/>
        <v>0</v>
      </c>
      <c r="V10">
        <f t="shared" si="11"/>
        <v>0</v>
      </c>
      <c r="W10" s="9">
        <f t="shared" si="12"/>
        <v>1</v>
      </c>
    </row>
    <row r="11" spans="1:23" x14ac:dyDescent="0.35">
      <c r="A11" s="1" t="s">
        <v>10</v>
      </c>
      <c r="B11">
        <v>1594946.6214285709</v>
      </c>
      <c r="C11">
        <v>65077.346428571429</v>
      </c>
      <c r="D11">
        <f t="shared" si="0"/>
        <v>1</v>
      </c>
      <c r="E11">
        <f t="shared" si="1"/>
        <v>1</v>
      </c>
      <c r="F11">
        <f t="shared" si="2"/>
        <v>0</v>
      </c>
      <c r="G11">
        <f t="shared" si="3"/>
        <v>0</v>
      </c>
      <c r="H11">
        <v>474869.6215490934</v>
      </c>
      <c r="I11">
        <v>16731.315143078358</v>
      </c>
      <c r="J11">
        <f t="shared" si="4"/>
        <v>1</v>
      </c>
      <c r="L11">
        <v>11550.49120436378</v>
      </c>
      <c r="M11">
        <v>319552.63950018393</v>
      </c>
      <c r="N11">
        <f t="shared" si="5"/>
        <v>1</v>
      </c>
      <c r="O11">
        <f t="shared" si="6"/>
        <v>0</v>
      </c>
      <c r="P11">
        <f t="shared" si="7"/>
        <v>0</v>
      </c>
      <c r="Q11">
        <f t="shared" si="8"/>
        <v>0</v>
      </c>
      <c r="R11">
        <v>2.6265477825439847E-2</v>
      </c>
      <c r="S11">
        <v>5.4728156643443694E-2</v>
      </c>
      <c r="T11">
        <f t="shared" si="9"/>
        <v>1</v>
      </c>
      <c r="U11">
        <f t="shared" si="10"/>
        <v>0</v>
      </c>
      <c r="V11">
        <f t="shared" si="11"/>
        <v>0</v>
      </c>
      <c r="W11" s="9">
        <f t="shared" si="12"/>
        <v>1</v>
      </c>
    </row>
    <row r="12" spans="1:23" x14ac:dyDescent="0.35">
      <c r="A12" s="1" t="s">
        <v>11</v>
      </c>
      <c r="B12">
        <v>1573404.75464684</v>
      </c>
      <c r="C12">
        <v>1430100.3506815371</v>
      </c>
      <c r="D12">
        <f t="shared" si="0"/>
        <v>1</v>
      </c>
      <c r="E12">
        <f t="shared" si="1"/>
        <v>0</v>
      </c>
      <c r="F12">
        <f t="shared" si="2"/>
        <v>0</v>
      </c>
      <c r="G12">
        <f t="shared" si="3"/>
        <v>1</v>
      </c>
      <c r="H12">
        <v>606223.85765013215</v>
      </c>
      <c r="I12">
        <v>381940.1828049302</v>
      </c>
      <c r="J12">
        <f>IF(I12&lt;H12,1,0)</f>
        <v>1</v>
      </c>
      <c r="L12">
        <v>607910.28202803968</v>
      </c>
      <c r="M12">
        <v>446655.17644933972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</v>
      </c>
      <c r="R12">
        <v>2.875967060463705E-2</v>
      </c>
      <c r="S12">
        <v>2.7929462532228996E-2</v>
      </c>
      <c r="T12">
        <f t="shared" si="9"/>
        <v>0</v>
      </c>
      <c r="U12">
        <f t="shared" si="10"/>
        <v>0</v>
      </c>
      <c r="V12">
        <f t="shared" si="11"/>
        <v>1</v>
      </c>
      <c r="W12" s="9">
        <f t="shared" si="12"/>
        <v>0</v>
      </c>
    </row>
    <row r="13" spans="1:23" x14ac:dyDescent="0.35">
      <c r="A13" s="1" t="s">
        <v>12</v>
      </c>
      <c r="B13">
        <v>1706817.168687982</v>
      </c>
      <c r="C13">
        <v>1817614.1146637271</v>
      </c>
      <c r="D13">
        <f t="shared" si="0"/>
        <v>0</v>
      </c>
      <c r="E13">
        <f t="shared" si="1"/>
        <v>0</v>
      </c>
      <c r="F13">
        <f t="shared" si="2"/>
        <v>0</v>
      </c>
      <c r="G13">
        <f t="shared" si="3"/>
        <v>1</v>
      </c>
      <c r="H13">
        <v>531314.00351530442</v>
      </c>
      <c r="I13">
        <v>457735.04153336462</v>
      </c>
      <c r="J13">
        <f t="shared" si="4"/>
        <v>1</v>
      </c>
      <c r="L13">
        <v>520075.42428923928</v>
      </c>
      <c r="M13">
        <v>355019.44221039512</v>
      </c>
      <c r="N13">
        <f t="shared" si="5"/>
        <v>0</v>
      </c>
      <c r="O13">
        <f t="shared" si="6"/>
        <v>1</v>
      </c>
      <c r="P13">
        <f t="shared" si="7"/>
        <v>0</v>
      </c>
      <c r="Q13">
        <f t="shared" si="8"/>
        <v>0</v>
      </c>
      <c r="R13">
        <v>1.1836161595884761E-2</v>
      </c>
      <c r="S13">
        <v>2.8689873406631271E-2</v>
      </c>
      <c r="T13">
        <f t="shared" si="9"/>
        <v>1</v>
      </c>
      <c r="U13">
        <f t="shared" si="10"/>
        <v>0</v>
      </c>
      <c r="V13">
        <f t="shared" si="11"/>
        <v>0</v>
      </c>
      <c r="W13" s="9">
        <f t="shared" si="12"/>
        <v>1</v>
      </c>
    </row>
    <row r="14" spans="1:23" x14ac:dyDescent="0.35">
      <c r="A14" s="1" t="s">
        <v>13</v>
      </c>
      <c r="B14">
        <v>1111773.975471698</v>
      </c>
      <c r="C14">
        <v>994606.2</v>
      </c>
      <c r="D14">
        <f t="shared" si="0"/>
        <v>1</v>
      </c>
      <c r="E14">
        <f t="shared" si="1"/>
        <v>0</v>
      </c>
      <c r="F14">
        <f t="shared" si="2"/>
        <v>0</v>
      </c>
      <c r="G14">
        <f t="shared" si="3"/>
        <v>1</v>
      </c>
      <c r="H14">
        <v>401314.42556121439</v>
      </c>
      <c r="I14">
        <v>251632.15448659149</v>
      </c>
      <c r="J14">
        <f t="shared" si="4"/>
        <v>1</v>
      </c>
      <c r="L14">
        <v>315051.56311654567</v>
      </c>
      <c r="M14">
        <v>282537.14251937688</v>
      </c>
      <c r="N14">
        <f t="shared" si="5"/>
        <v>0</v>
      </c>
      <c r="O14">
        <f t="shared" si="6"/>
        <v>1</v>
      </c>
      <c r="P14">
        <f t="shared" si="7"/>
        <v>0</v>
      </c>
      <c r="Q14">
        <f t="shared" si="8"/>
        <v>0</v>
      </c>
      <c r="R14">
        <v>1.6401755512489194E-2</v>
      </c>
      <c r="S14">
        <v>2.2200826197911361E-2</v>
      </c>
      <c r="T14">
        <f t="shared" si="9"/>
        <v>1</v>
      </c>
      <c r="U14">
        <f t="shared" si="10"/>
        <v>0</v>
      </c>
      <c r="V14">
        <f t="shared" si="11"/>
        <v>0</v>
      </c>
      <c r="W14" s="9">
        <f t="shared" si="12"/>
        <v>1</v>
      </c>
    </row>
    <row r="15" spans="1:23" x14ac:dyDescent="0.35">
      <c r="A15" s="1" t="s">
        <v>14</v>
      </c>
      <c r="B15">
        <v>1017193.998113208</v>
      </c>
      <c r="C15">
        <v>1119508.560377358</v>
      </c>
      <c r="D15">
        <f t="shared" si="0"/>
        <v>0</v>
      </c>
      <c r="E15">
        <f t="shared" si="1"/>
        <v>0</v>
      </c>
      <c r="F15">
        <f t="shared" si="2"/>
        <v>0</v>
      </c>
      <c r="G15">
        <f t="shared" si="3"/>
        <v>1</v>
      </c>
      <c r="H15">
        <v>408998.48241543822</v>
      </c>
      <c r="I15">
        <v>300927.24488304858</v>
      </c>
      <c r="J15">
        <f t="shared" si="4"/>
        <v>1</v>
      </c>
      <c r="L15">
        <v>500175.42296495818</v>
      </c>
      <c r="M15">
        <v>254034.01566153369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</v>
      </c>
      <c r="R15">
        <v>1.3781859972161463E-2</v>
      </c>
      <c r="S15">
        <v>1.8846576676325721E-2</v>
      </c>
      <c r="T15">
        <f t="shared" si="9"/>
        <v>1</v>
      </c>
      <c r="U15">
        <f t="shared" si="10"/>
        <v>1</v>
      </c>
      <c r="V15">
        <f t="shared" si="11"/>
        <v>0</v>
      </c>
      <c r="W15" s="9">
        <f t="shared" si="12"/>
        <v>1</v>
      </c>
    </row>
    <row r="16" spans="1:23" x14ac:dyDescent="0.35">
      <c r="A16" s="1" t="s">
        <v>15</v>
      </c>
      <c r="B16">
        <v>1137572.6602451841</v>
      </c>
      <c r="C16">
        <v>4555.7828371278456</v>
      </c>
      <c r="D16">
        <f t="shared" si="0"/>
        <v>1</v>
      </c>
      <c r="E16">
        <f t="shared" si="1"/>
        <v>1</v>
      </c>
      <c r="F16">
        <f t="shared" si="2"/>
        <v>0</v>
      </c>
      <c r="G16">
        <f t="shared" si="3"/>
        <v>0</v>
      </c>
      <c r="H16">
        <v>272646.8455479836</v>
      </c>
      <c r="I16">
        <v>1110.762189270022</v>
      </c>
      <c r="J16">
        <f t="shared" si="4"/>
        <v>1</v>
      </c>
      <c r="L16">
        <v>275.66416003351492</v>
      </c>
      <c r="M16">
        <v>71492.873897682206</v>
      </c>
      <c r="N16">
        <f t="shared" si="5"/>
        <v>1</v>
      </c>
      <c r="O16">
        <f t="shared" si="6"/>
        <v>0</v>
      </c>
      <c r="P16">
        <f t="shared" si="7"/>
        <v>0</v>
      </c>
      <c r="Q16">
        <f t="shared" si="8"/>
        <v>0</v>
      </c>
      <c r="R16">
        <v>2.4235707471747008E-2</v>
      </c>
      <c r="S16">
        <v>8.3945300345804233E-2</v>
      </c>
      <c r="T16">
        <f t="shared" si="9"/>
        <v>1</v>
      </c>
      <c r="U16">
        <f t="shared" si="10"/>
        <v>0</v>
      </c>
      <c r="V16">
        <f t="shared" si="11"/>
        <v>0</v>
      </c>
      <c r="W16" s="9">
        <f t="shared" si="12"/>
        <v>1</v>
      </c>
    </row>
    <row r="17" spans="1:23" x14ac:dyDescent="0.35">
      <c r="A17" s="1" t="s">
        <v>16</v>
      </c>
      <c r="B17">
        <v>1103682.0485115771</v>
      </c>
      <c r="C17">
        <v>1110865.421168688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1</v>
      </c>
      <c r="H17">
        <v>494422.23710809642</v>
      </c>
      <c r="I17">
        <v>267765.62382901338</v>
      </c>
      <c r="J17">
        <f t="shared" si="4"/>
        <v>1</v>
      </c>
      <c r="L17">
        <v>507051.72473837319</v>
      </c>
      <c r="M17">
        <v>284811.50156857283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</v>
      </c>
      <c r="R17">
        <v>3.760782607306036E-3</v>
      </c>
      <c r="S17">
        <v>1.3679730899847065E-3</v>
      </c>
      <c r="T17">
        <f t="shared" si="9"/>
        <v>0</v>
      </c>
      <c r="U17">
        <f t="shared" si="10"/>
        <v>0</v>
      </c>
      <c r="V17">
        <f t="shared" si="11"/>
        <v>1</v>
      </c>
      <c r="W17" s="9">
        <f t="shared" si="12"/>
        <v>0</v>
      </c>
    </row>
    <row r="18" spans="1:23" x14ac:dyDescent="0.35">
      <c r="A18" s="1" t="s">
        <v>17</v>
      </c>
      <c r="B18">
        <v>1038526.179245283</v>
      </c>
      <c r="C18">
        <v>798114.22830188682</v>
      </c>
      <c r="D18">
        <f t="shared" si="0"/>
        <v>1</v>
      </c>
      <c r="E18">
        <f t="shared" si="1"/>
        <v>0</v>
      </c>
      <c r="F18">
        <f t="shared" si="2"/>
        <v>0</v>
      </c>
      <c r="G18">
        <f t="shared" si="3"/>
        <v>1</v>
      </c>
      <c r="H18">
        <v>470411.70947496942</v>
      </c>
      <c r="I18">
        <v>193277.9897218064</v>
      </c>
      <c r="J18">
        <f t="shared" si="4"/>
        <v>1</v>
      </c>
      <c r="L18">
        <v>366748.18706862582</v>
      </c>
      <c r="M18">
        <v>273164.22500452527</v>
      </c>
      <c r="N18">
        <f t="shared" si="5"/>
        <v>0</v>
      </c>
      <c r="O18">
        <f t="shared" si="6"/>
        <v>0</v>
      </c>
      <c r="P18">
        <f t="shared" si="7"/>
        <v>0</v>
      </c>
      <c r="Q18">
        <f t="shared" si="8"/>
        <v>1</v>
      </c>
      <c r="R18">
        <v>1.7987042583431038E-2</v>
      </c>
      <c r="S18">
        <v>8.8898862668883739E-3</v>
      </c>
      <c r="T18">
        <f t="shared" si="9"/>
        <v>0</v>
      </c>
      <c r="U18">
        <f t="shared" si="10"/>
        <v>0</v>
      </c>
      <c r="V18">
        <f t="shared" si="11"/>
        <v>1</v>
      </c>
      <c r="W18" s="9">
        <f t="shared" si="12"/>
        <v>0</v>
      </c>
    </row>
    <row r="19" spans="1:23" x14ac:dyDescent="0.35">
      <c r="A19" s="1" t="s">
        <v>18</v>
      </c>
      <c r="B19">
        <v>1060121.618867924</v>
      </c>
      <c r="C19">
        <v>1253852.6509433959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1</v>
      </c>
      <c r="H19">
        <v>461768.8955941099</v>
      </c>
      <c r="I19">
        <v>327104.81445300882</v>
      </c>
      <c r="J19">
        <f t="shared" si="4"/>
        <v>1</v>
      </c>
      <c r="L19">
        <v>510944.21581120399</v>
      </c>
      <c r="M19">
        <v>280185.10587714968</v>
      </c>
      <c r="N19">
        <f t="shared" si="5"/>
        <v>0</v>
      </c>
      <c r="O19">
        <f t="shared" si="6"/>
        <v>0</v>
      </c>
      <c r="P19">
        <f t="shared" si="7"/>
        <v>0</v>
      </c>
      <c r="Q19">
        <f t="shared" si="8"/>
        <v>1</v>
      </c>
      <c r="R19">
        <v>5.2384227303530789E-2</v>
      </c>
      <c r="S19">
        <v>3.5749355328808838E-2</v>
      </c>
      <c r="T19">
        <f t="shared" si="9"/>
        <v>0</v>
      </c>
      <c r="U19">
        <f t="shared" si="10"/>
        <v>0</v>
      </c>
      <c r="V19">
        <f t="shared" si="11"/>
        <v>1</v>
      </c>
      <c r="W19" s="9">
        <f t="shared" si="12"/>
        <v>0</v>
      </c>
    </row>
    <row r="20" spans="1:23" x14ac:dyDescent="0.35">
      <c r="A20" s="1" t="s">
        <v>19</v>
      </c>
      <c r="B20">
        <v>979029.48194130929</v>
      </c>
      <c r="C20">
        <v>1152354.112866817</v>
      </c>
      <c r="D20">
        <f t="shared" si="0"/>
        <v>0</v>
      </c>
      <c r="E20">
        <f t="shared" si="1"/>
        <v>0</v>
      </c>
      <c r="F20">
        <f t="shared" si="2"/>
        <v>0</v>
      </c>
      <c r="G20">
        <f t="shared" si="3"/>
        <v>1</v>
      </c>
      <c r="H20">
        <v>365360.10174547229</v>
      </c>
      <c r="I20">
        <v>297843.18268076889</v>
      </c>
      <c r="J20">
        <f t="shared" si="4"/>
        <v>1</v>
      </c>
      <c r="L20">
        <v>465484.23078173032</v>
      </c>
      <c r="M20">
        <v>230767.37280836789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</v>
      </c>
      <c r="R20">
        <v>1.5123212119774727E-2</v>
      </c>
      <c r="S20">
        <v>2.6968847175816973E-2</v>
      </c>
      <c r="T20">
        <f t="shared" si="9"/>
        <v>1</v>
      </c>
      <c r="U20">
        <f t="shared" si="10"/>
        <v>1</v>
      </c>
      <c r="V20">
        <f t="shared" si="11"/>
        <v>0</v>
      </c>
      <c r="W20" s="9">
        <f t="shared" si="12"/>
        <v>1</v>
      </c>
    </row>
    <row r="21" spans="1:23" x14ac:dyDescent="0.35">
      <c r="A21" s="1" t="s">
        <v>20</v>
      </c>
      <c r="B21">
        <v>1247835.6026587889</v>
      </c>
      <c r="C21">
        <v>46973.437223042827</v>
      </c>
      <c r="D21">
        <f t="shared" si="0"/>
        <v>1</v>
      </c>
      <c r="E21">
        <f t="shared" si="1"/>
        <v>1</v>
      </c>
      <c r="F21">
        <f t="shared" si="2"/>
        <v>0</v>
      </c>
      <c r="G21">
        <f t="shared" si="3"/>
        <v>0</v>
      </c>
      <c r="H21">
        <v>326996.89567568217</v>
      </c>
      <c r="I21">
        <v>11298.433692055791</v>
      </c>
      <c r="J21">
        <f t="shared" si="4"/>
        <v>1</v>
      </c>
      <c r="L21">
        <v>8934.0541917546816</v>
      </c>
      <c r="M21">
        <v>240293.66263986079</v>
      </c>
      <c r="N21">
        <f t="shared" si="5"/>
        <v>1</v>
      </c>
      <c r="O21">
        <f t="shared" si="6"/>
        <v>0</v>
      </c>
      <c r="P21">
        <f t="shared" si="7"/>
        <v>0</v>
      </c>
      <c r="Q21">
        <f t="shared" si="8"/>
        <v>0</v>
      </c>
      <c r="R21">
        <v>2.338336233378354E-2</v>
      </c>
      <c r="S21">
        <v>1.1526863551260416E-2</v>
      </c>
      <c r="T21">
        <f t="shared" si="9"/>
        <v>0</v>
      </c>
      <c r="U21">
        <f t="shared" si="10"/>
        <v>0</v>
      </c>
      <c r="V21">
        <f t="shared" si="11"/>
        <v>0</v>
      </c>
      <c r="W21" s="9">
        <f t="shared" si="12"/>
        <v>1</v>
      </c>
    </row>
    <row r="22" spans="1:23" x14ac:dyDescent="0.35">
      <c r="A22" s="1" t="s">
        <v>21</v>
      </c>
      <c r="B22">
        <v>1674792.376136363</v>
      </c>
      <c r="C22">
        <v>1766781.435227273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1</v>
      </c>
      <c r="H22">
        <v>625450.18206748273</v>
      </c>
      <c r="I22">
        <v>423247.22884516628</v>
      </c>
      <c r="J22">
        <f t="shared" si="4"/>
        <v>1</v>
      </c>
      <c r="L22">
        <v>737026.91469551995</v>
      </c>
      <c r="M22">
        <v>426354.51374532742</v>
      </c>
      <c r="N22">
        <f t="shared" si="5"/>
        <v>0</v>
      </c>
      <c r="O22">
        <f t="shared" si="6"/>
        <v>0</v>
      </c>
      <c r="P22">
        <f t="shared" si="7"/>
        <v>1</v>
      </c>
      <c r="Q22">
        <f t="shared" si="8"/>
        <v>0</v>
      </c>
      <c r="R22">
        <v>7.0061485826120864E-3</v>
      </c>
      <c r="S22">
        <v>2.1660273562365443E-2</v>
      </c>
      <c r="T22">
        <f t="shared" si="9"/>
        <v>1</v>
      </c>
      <c r="U22">
        <f t="shared" si="10"/>
        <v>0</v>
      </c>
      <c r="V22">
        <f t="shared" si="11"/>
        <v>0</v>
      </c>
      <c r="W22" s="9">
        <f t="shared" si="12"/>
        <v>0</v>
      </c>
    </row>
    <row r="23" spans="1:23" x14ac:dyDescent="0.35">
      <c r="A23" s="1" t="s">
        <v>22</v>
      </c>
      <c r="B23">
        <v>1032290.201886792</v>
      </c>
      <c r="C23">
        <v>883056.18490566034</v>
      </c>
      <c r="D23">
        <f t="shared" si="0"/>
        <v>1</v>
      </c>
      <c r="E23">
        <f t="shared" si="1"/>
        <v>0</v>
      </c>
      <c r="F23">
        <f t="shared" si="2"/>
        <v>0</v>
      </c>
      <c r="G23">
        <f t="shared" si="3"/>
        <v>1</v>
      </c>
      <c r="H23">
        <v>406805.14552453841</v>
      </c>
      <c r="I23">
        <v>215584.95322227219</v>
      </c>
      <c r="J23">
        <f t="shared" si="4"/>
        <v>1</v>
      </c>
      <c r="L23">
        <v>379821.55194429122</v>
      </c>
      <c r="M23">
        <v>251604.56615441179</v>
      </c>
      <c r="N23">
        <f t="shared" si="5"/>
        <v>0</v>
      </c>
      <c r="O23">
        <f t="shared" si="6"/>
        <v>0</v>
      </c>
      <c r="P23">
        <f t="shared" si="7"/>
        <v>0</v>
      </c>
      <c r="Q23">
        <f t="shared" si="8"/>
        <v>1</v>
      </c>
      <c r="R23">
        <v>4.1584701478583126E-2</v>
      </c>
      <c r="S23">
        <v>7.3819689086911222E-2</v>
      </c>
      <c r="T23">
        <f t="shared" si="9"/>
        <v>1</v>
      </c>
      <c r="U23">
        <f t="shared" si="10"/>
        <v>1</v>
      </c>
      <c r="V23">
        <f t="shared" si="11"/>
        <v>0</v>
      </c>
      <c r="W23" s="9">
        <f t="shared" si="12"/>
        <v>1</v>
      </c>
    </row>
    <row r="24" spans="1:23" x14ac:dyDescent="0.35">
      <c r="A24" s="1" t="s">
        <v>23</v>
      </c>
      <c r="B24">
        <v>1003368.39527559</v>
      </c>
      <c r="C24">
        <v>74156.725984251971</v>
      </c>
      <c r="D24">
        <f t="shared" si="0"/>
        <v>1</v>
      </c>
      <c r="E24">
        <f t="shared" si="1"/>
        <v>1</v>
      </c>
      <c r="F24">
        <f t="shared" si="2"/>
        <v>0</v>
      </c>
      <c r="G24">
        <f t="shared" si="3"/>
        <v>0</v>
      </c>
      <c r="H24">
        <v>476876.3166845878</v>
      </c>
      <c r="I24">
        <v>20891.126347407189</v>
      </c>
      <c r="J24">
        <f t="shared" si="4"/>
        <v>1</v>
      </c>
      <c r="L24">
        <v>14558.404491199561</v>
      </c>
      <c r="M24">
        <v>203946.00849800871</v>
      </c>
      <c r="N24">
        <f t="shared" si="5"/>
        <v>1</v>
      </c>
      <c r="O24">
        <f t="shared" si="6"/>
        <v>0</v>
      </c>
      <c r="P24">
        <f t="shared" si="7"/>
        <v>0</v>
      </c>
      <c r="Q24">
        <f t="shared" si="8"/>
        <v>0</v>
      </c>
      <c r="R24">
        <v>1.7799367285177071E-3</v>
      </c>
      <c r="S24">
        <v>3.4284478612413335E-2</v>
      </c>
      <c r="T24">
        <f t="shared" si="9"/>
        <v>1</v>
      </c>
      <c r="U24">
        <f t="shared" si="10"/>
        <v>0</v>
      </c>
      <c r="V24">
        <f t="shared" si="11"/>
        <v>0</v>
      </c>
      <c r="W24" s="9">
        <f t="shared" si="12"/>
        <v>1</v>
      </c>
    </row>
    <row r="25" spans="1:23" x14ac:dyDescent="0.35">
      <c r="A25" s="1" t="s">
        <v>24</v>
      </c>
      <c r="B25">
        <v>1055583.463541667</v>
      </c>
      <c r="C25">
        <v>971877.8524305555</v>
      </c>
      <c r="D25">
        <f t="shared" si="0"/>
        <v>1</v>
      </c>
      <c r="E25">
        <f t="shared" si="1"/>
        <v>0</v>
      </c>
      <c r="F25">
        <f t="shared" si="2"/>
        <v>0</v>
      </c>
      <c r="G25">
        <f t="shared" si="3"/>
        <v>1</v>
      </c>
      <c r="H25">
        <v>400431.91938123031</v>
      </c>
      <c r="I25">
        <v>290266.33741303638</v>
      </c>
      <c r="J25">
        <f t="shared" si="4"/>
        <v>1</v>
      </c>
      <c r="L25">
        <v>347644.01015956659</v>
      </c>
      <c r="M25">
        <v>274293.11382282712</v>
      </c>
      <c r="N25">
        <f t="shared" si="5"/>
        <v>0</v>
      </c>
      <c r="O25">
        <f t="shared" si="6"/>
        <v>1</v>
      </c>
      <c r="P25">
        <f t="shared" si="7"/>
        <v>0</v>
      </c>
      <c r="Q25">
        <f t="shared" si="8"/>
        <v>0</v>
      </c>
      <c r="R25">
        <v>1.2268160867689512E-2</v>
      </c>
      <c r="S25">
        <v>4.706335624268896E-2</v>
      </c>
      <c r="T25">
        <f t="shared" si="9"/>
        <v>1</v>
      </c>
      <c r="U25">
        <f t="shared" si="10"/>
        <v>0</v>
      </c>
      <c r="V25">
        <f t="shared" si="11"/>
        <v>0</v>
      </c>
      <c r="W25" s="9">
        <f t="shared" si="12"/>
        <v>1</v>
      </c>
    </row>
    <row r="26" spans="1:23" x14ac:dyDescent="0.35">
      <c r="A26" s="1" t="s">
        <v>25</v>
      </c>
      <c r="B26">
        <v>1427192.3509433961</v>
      </c>
      <c r="C26">
        <v>1170648.560377358</v>
      </c>
      <c r="D26">
        <f t="shared" si="0"/>
        <v>1</v>
      </c>
      <c r="E26">
        <f t="shared" si="1"/>
        <v>0</v>
      </c>
      <c r="F26">
        <f t="shared" si="2"/>
        <v>0</v>
      </c>
      <c r="G26">
        <f t="shared" si="3"/>
        <v>1</v>
      </c>
      <c r="H26">
        <v>509927.81391253188</v>
      </c>
      <c r="I26">
        <v>277102.47333002958</v>
      </c>
      <c r="J26">
        <f t="shared" si="4"/>
        <v>1</v>
      </c>
      <c r="L26">
        <v>495706.35163821641</v>
      </c>
      <c r="M26">
        <v>337271.970736688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</v>
      </c>
      <c r="R26">
        <v>2.2008266093952608E-2</v>
      </c>
      <c r="S26">
        <v>3.420759269467237E-2</v>
      </c>
      <c r="T26">
        <f t="shared" si="9"/>
        <v>1</v>
      </c>
      <c r="U26">
        <f t="shared" si="10"/>
        <v>1</v>
      </c>
      <c r="V26">
        <f t="shared" si="11"/>
        <v>0</v>
      </c>
      <c r="W26" s="9">
        <f t="shared" si="12"/>
        <v>1</v>
      </c>
    </row>
    <row r="27" spans="1:23" x14ac:dyDescent="0.35">
      <c r="A27" s="1" t="s">
        <v>26</v>
      </c>
      <c r="B27">
        <v>1109720.8264150941</v>
      </c>
      <c r="C27">
        <v>984995.40377358487</v>
      </c>
      <c r="D27">
        <f t="shared" si="0"/>
        <v>1</v>
      </c>
      <c r="E27">
        <f t="shared" si="1"/>
        <v>0</v>
      </c>
      <c r="F27">
        <f t="shared" si="2"/>
        <v>0</v>
      </c>
      <c r="G27">
        <f t="shared" si="3"/>
        <v>1</v>
      </c>
      <c r="H27">
        <v>450347.52048724517</v>
      </c>
      <c r="I27">
        <v>209603.9453892704</v>
      </c>
      <c r="J27">
        <f t="shared" si="4"/>
        <v>1</v>
      </c>
      <c r="L27">
        <v>416187.37393458397</v>
      </c>
      <c r="M27">
        <v>262584.67200396518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</v>
      </c>
      <c r="R27">
        <v>5.4776399251691013E-3</v>
      </c>
      <c r="S27">
        <v>6.4093830259639925E-2</v>
      </c>
      <c r="T27">
        <f t="shared" si="9"/>
        <v>1</v>
      </c>
      <c r="U27">
        <f t="shared" si="10"/>
        <v>1</v>
      </c>
      <c r="V27">
        <f t="shared" si="11"/>
        <v>0</v>
      </c>
      <c r="W27" s="9">
        <f t="shared" si="12"/>
        <v>1</v>
      </c>
    </row>
    <row r="28" spans="1:23" x14ac:dyDescent="0.35">
      <c r="A28" s="1" t="s">
        <v>27</v>
      </c>
      <c r="B28">
        <v>910638.58333333326</v>
      </c>
      <c r="C28">
        <v>1200158.7977941181</v>
      </c>
      <c r="D28">
        <f t="shared" si="0"/>
        <v>0</v>
      </c>
      <c r="E28">
        <f t="shared" si="1"/>
        <v>0</v>
      </c>
      <c r="F28">
        <f t="shared" si="2"/>
        <v>0</v>
      </c>
      <c r="G28">
        <f t="shared" si="3"/>
        <v>1</v>
      </c>
      <c r="H28">
        <v>467684.60639352188</v>
      </c>
      <c r="I28">
        <v>316357.68571031169</v>
      </c>
      <c r="J28">
        <f t="shared" si="4"/>
        <v>1</v>
      </c>
      <c r="L28">
        <v>570917.83724505792</v>
      </c>
      <c r="M28">
        <v>225854.7895803485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</v>
      </c>
      <c r="R28">
        <v>2.2517289068681614E-3</v>
      </c>
      <c r="S28">
        <v>5.4493895863447224E-2</v>
      </c>
      <c r="T28">
        <f t="shared" si="9"/>
        <v>1</v>
      </c>
      <c r="U28">
        <f t="shared" si="10"/>
        <v>1</v>
      </c>
      <c r="V28">
        <f t="shared" si="11"/>
        <v>0</v>
      </c>
      <c r="W28" s="9">
        <f t="shared" si="12"/>
        <v>1</v>
      </c>
    </row>
    <row r="29" spans="1:23" x14ac:dyDescent="0.35">
      <c r="A29" s="1" t="s">
        <v>28</v>
      </c>
      <c r="B29">
        <v>1022726.283636364</v>
      </c>
      <c r="C29">
        <v>483365.55818181823</v>
      </c>
      <c r="D29">
        <f t="shared" si="0"/>
        <v>1</v>
      </c>
      <c r="E29">
        <f t="shared" si="1"/>
        <v>0</v>
      </c>
      <c r="F29">
        <f t="shared" si="2"/>
        <v>0</v>
      </c>
      <c r="G29">
        <f t="shared" si="3"/>
        <v>1</v>
      </c>
      <c r="H29">
        <v>337456.55896024388</v>
      </c>
      <c r="I29">
        <v>213375.05241461089</v>
      </c>
      <c r="J29">
        <f t="shared" si="4"/>
        <v>1</v>
      </c>
      <c r="L29">
        <v>158093.06291684241</v>
      </c>
      <c r="M29">
        <v>252250.5560249495</v>
      </c>
      <c r="N29">
        <f t="shared" si="5"/>
        <v>1</v>
      </c>
      <c r="O29">
        <f t="shared" si="6"/>
        <v>1</v>
      </c>
      <c r="P29">
        <f t="shared" si="7"/>
        <v>0</v>
      </c>
      <c r="Q29">
        <f t="shared" si="8"/>
        <v>0</v>
      </c>
      <c r="R29">
        <v>3.5848705985824007E-2</v>
      </c>
      <c r="S29">
        <v>4.2124978362375956E-3</v>
      </c>
      <c r="T29">
        <f t="shared" si="9"/>
        <v>0</v>
      </c>
      <c r="U29">
        <f t="shared" si="10"/>
        <v>0</v>
      </c>
      <c r="V29">
        <f t="shared" si="11"/>
        <v>0</v>
      </c>
      <c r="W29" s="9">
        <f t="shared" si="12"/>
        <v>1</v>
      </c>
    </row>
    <row r="30" spans="1:23" x14ac:dyDescent="0.35">
      <c r="A30" s="1" t="s">
        <v>29</v>
      </c>
      <c r="B30">
        <v>599272.78486055776</v>
      </c>
      <c r="C30">
        <v>56501.507968127487</v>
      </c>
      <c r="D30">
        <f t="shared" si="0"/>
        <v>1</v>
      </c>
      <c r="E30">
        <f t="shared" si="1"/>
        <v>1</v>
      </c>
      <c r="F30">
        <f t="shared" si="2"/>
        <v>0</v>
      </c>
      <c r="G30">
        <f t="shared" si="3"/>
        <v>0</v>
      </c>
      <c r="H30">
        <v>222241.20821148649</v>
      </c>
      <c r="I30">
        <v>15641.7647440006</v>
      </c>
      <c r="J30">
        <f t="shared" si="4"/>
        <v>1</v>
      </c>
      <c r="L30">
        <v>13226.460106743831</v>
      </c>
      <c r="M30">
        <v>120336.3296741114</v>
      </c>
      <c r="N30">
        <f t="shared" si="5"/>
        <v>1</v>
      </c>
      <c r="O30">
        <f t="shared" si="6"/>
        <v>0</v>
      </c>
      <c r="P30">
        <f t="shared" si="7"/>
        <v>0</v>
      </c>
      <c r="Q30">
        <f t="shared" si="8"/>
        <v>0</v>
      </c>
      <c r="R30">
        <v>2.3835285454878487E-2</v>
      </c>
      <c r="S30">
        <v>1.7360199663497885E-2</v>
      </c>
      <c r="T30">
        <f t="shared" si="9"/>
        <v>0</v>
      </c>
      <c r="U30">
        <f t="shared" si="10"/>
        <v>0</v>
      </c>
      <c r="V30">
        <f t="shared" si="11"/>
        <v>0</v>
      </c>
      <c r="W30" s="9">
        <f t="shared" si="12"/>
        <v>1</v>
      </c>
    </row>
    <row r="31" spans="1:23" x14ac:dyDescent="0.35">
      <c r="A31" s="1" t="s">
        <v>30</v>
      </c>
      <c r="B31">
        <v>2286336.537760417</v>
      </c>
      <c r="C31">
        <v>1363.1875</v>
      </c>
      <c r="D31">
        <f t="shared" si="0"/>
        <v>1</v>
      </c>
      <c r="E31">
        <f t="shared" si="1"/>
        <v>1</v>
      </c>
      <c r="F31">
        <f t="shared" si="2"/>
        <v>0</v>
      </c>
      <c r="G31">
        <f t="shared" si="3"/>
        <v>0</v>
      </c>
      <c r="H31">
        <v>685316.10199184762</v>
      </c>
      <c r="I31">
        <v>290.46690385094581</v>
      </c>
      <c r="J31">
        <f t="shared" si="4"/>
        <v>1</v>
      </c>
      <c r="L31">
        <v>14.5</v>
      </c>
      <c r="M31">
        <v>6154.9297591443355</v>
      </c>
      <c r="N31">
        <f t="shared" si="5"/>
        <v>1</v>
      </c>
      <c r="O31">
        <f t="shared" si="6"/>
        <v>0</v>
      </c>
      <c r="P31">
        <f t="shared" si="7"/>
        <v>0</v>
      </c>
      <c r="Q31">
        <f t="shared" si="8"/>
        <v>0</v>
      </c>
      <c r="R31">
        <v>9.7770616002149286E-4</v>
      </c>
      <c r="S31">
        <v>9.9945740294442878E-2</v>
      </c>
      <c r="T31">
        <f t="shared" si="9"/>
        <v>1</v>
      </c>
      <c r="U31">
        <f t="shared" si="10"/>
        <v>0</v>
      </c>
      <c r="V31">
        <f t="shared" si="11"/>
        <v>0</v>
      </c>
      <c r="W31" s="9">
        <f t="shared" si="12"/>
        <v>1</v>
      </c>
    </row>
    <row r="32" spans="1:23" x14ac:dyDescent="0.35">
      <c r="A32" s="1" t="s">
        <v>31</v>
      </c>
      <c r="B32">
        <v>1351087.2816593889</v>
      </c>
      <c r="C32">
        <v>1221051.9770742359</v>
      </c>
      <c r="D32">
        <f t="shared" si="0"/>
        <v>1</v>
      </c>
      <c r="E32">
        <f t="shared" si="1"/>
        <v>0</v>
      </c>
      <c r="F32">
        <f t="shared" si="2"/>
        <v>0</v>
      </c>
      <c r="G32">
        <f t="shared" si="3"/>
        <v>1</v>
      </c>
      <c r="H32">
        <v>539262.49414395576</v>
      </c>
      <c r="I32">
        <v>292204.76974261552</v>
      </c>
      <c r="J32">
        <f t="shared" si="4"/>
        <v>1</v>
      </c>
      <c r="L32">
        <v>503816.91438123578</v>
      </c>
      <c r="M32">
        <v>332399.21251153672</v>
      </c>
      <c r="N32">
        <f t="shared" si="5"/>
        <v>0</v>
      </c>
      <c r="O32">
        <f t="shared" si="6"/>
        <v>0</v>
      </c>
      <c r="P32">
        <f t="shared" si="7"/>
        <v>0</v>
      </c>
      <c r="Q32">
        <f t="shared" si="8"/>
        <v>1</v>
      </c>
      <c r="R32">
        <v>2.2033528509533006E-2</v>
      </c>
      <c r="S32">
        <v>3.6200529122719545E-2</v>
      </c>
      <c r="T32">
        <f t="shared" si="9"/>
        <v>1</v>
      </c>
      <c r="U32">
        <f t="shared" si="10"/>
        <v>1</v>
      </c>
      <c r="V32">
        <f t="shared" si="11"/>
        <v>0</v>
      </c>
      <c r="W32" s="9">
        <f t="shared" si="12"/>
        <v>1</v>
      </c>
    </row>
    <row r="33" spans="1:23" x14ac:dyDescent="0.35">
      <c r="A33" s="1" t="s">
        <v>32</v>
      </c>
      <c r="B33">
        <v>1669400.9785794809</v>
      </c>
      <c r="C33">
        <v>93188.615558060876</v>
      </c>
      <c r="D33">
        <f t="shared" si="0"/>
        <v>1</v>
      </c>
      <c r="E33">
        <f t="shared" si="1"/>
        <v>1</v>
      </c>
      <c r="F33">
        <f t="shared" si="2"/>
        <v>0</v>
      </c>
      <c r="G33">
        <f t="shared" si="3"/>
        <v>0</v>
      </c>
      <c r="H33">
        <v>604885.7815485145</v>
      </c>
      <c r="I33">
        <v>38408.89946869688</v>
      </c>
      <c r="J33">
        <f t="shared" si="4"/>
        <v>1</v>
      </c>
      <c r="L33">
        <v>32744.792205251619</v>
      </c>
      <c r="M33">
        <v>356370.37888021499</v>
      </c>
      <c r="N33">
        <f t="shared" si="5"/>
        <v>1</v>
      </c>
      <c r="O33">
        <f t="shared" si="6"/>
        <v>0</v>
      </c>
      <c r="P33">
        <f t="shared" si="7"/>
        <v>0</v>
      </c>
      <c r="Q33">
        <f t="shared" si="8"/>
        <v>0</v>
      </c>
      <c r="R33">
        <v>1.6722621062790297E-2</v>
      </c>
      <c r="S33">
        <v>5.3160770970459716E-2</v>
      </c>
      <c r="T33">
        <f t="shared" si="9"/>
        <v>1</v>
      </c>
      <c r="U33">
        <f t="shared" si="10"/>
        <v>0</v>
      </c>
      <c r="V33">
        <f t="shared" si="11"/>
        <v>0</v>
      </c>
      <c r="W33" s="9">
        <f t="shared" si="12"/>
        <v>1</v>
      </c>
    </row>
    <row r="34" spans="1:23" x14ac:dyDescent="0.35">
      <c r="A34" s="1" t="s">
        <v>33</v>
      </c>
      <c r="B34">
        <v>918730.01107011072</v>
      </c>
      <c r="C34">
        <v>54603.267527675278</v>
      </c>
      <c r="D34">
        <f t="shared" si="0"/>
        <v>1</v>
      </c>
      <c r="E34">
        <f t="shared" si="1"/>
        <v>1</v>
      </c>
      <c r="F34">
        <f t="shared" si="2"/>
        <v>0</v>
      </c>
      <c r="G34">
        <f t="shared" si="3"/>
        <v>0</v>
      </c>
      <c r="H34">
        <v>262340.80594202102</v>
      </c>
      <c r="I34">
        <v>14090.49384050315</v>
      </c>
      <c r="J34">
        <f t="shared" si="4"/>
        <v>1</v>
      </c>
      <c r="L34">
        <v>12026.83084106734</v>
      </c>
      <c r="M34">
        <v>177924.31748558729</v>
      </c>
      <c r="N34">
        <f t="shared" si="5"/>
        <v>1</v>
      </c>
      <c r="O34">
        <f t="shared" si="6"/>
        <v>0</v>
      </c>
      <c r="P34">
        <f t="shared" si="7"/>
        <v>0</v>
      </c>
      <c r="Q34">
        <f t="shared" si="8"/>
        <v>0</v>
      </c>
      <c r="R34">
        <v>2.8749391748332707E-2</v>
      </c>
      <c r="S34">
        <v>1.7219303156237504E-2</v>
      </c>
      <c r="T34">
        <f t="shared" si="9"/>
        <v>0</v>
      </c>
      <c r="U34">
        <f t="shared" si="10"/>
        <v>0</v>
      </c>
      <c r="V34">
        <f t="shared" si="11"/>
        <v>0</v>
      </c>
      <c r="W34" s="9">
        <f t="shared" si="12"/>
        <v>1</v>
      </c>
    </row>
    <row r="35" spans="1:23" x14ac:dyDescent="0.35">
      <c r="A35" s="1" t="s">
        <v>34</v>
      </c>
      <c r="B35">
        <v>845310.81086142315</v>
      </c>
      <c r="C35">
        <v>939131.11797752813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1</v>
      </c>
      <c r="H35">
        <v>387727.4377135011</v>
      </c>
      <c r="I35">
        <v>258978.44930771971</v>
      </c>
      <c r="J35">
        <f t="shared" si="4"/>
        <v>1</v>
      </c>
      <c r="L35">
        <v>411480.3672013866</v>
      </c>
      <c r="M35">
        <v>211035.26547062039</v>
      </c>
      <c r="N35">
        <f t="shared" si="5"/>
        <v>0</v>
      </c>
      <c r="O35">
        <f t="shared" si="6"/>
        <v>0</v>
      </c>
      <c r="P35">
        <f t="shared" si="7"/>
        <v>0</v>
      </c>
      <c r="Q35">
        <f t="shared" si="8"/>
        <v>1</v>
      </c>
      <c r="R35">
        <v>9.6239975054815005E-2</v>
      </c>
      <c r="S35">
        <v>1.2690378038063959E-2</v>
      </c>
      <c r="T35">
        <f t="shared" si="9"/>
        <v>0</v>
      </c>
      <c r="U35">
        <f t="shared" si="10"/>
        <v>0</v>
      </c>
      <c r="V35">
        <f t="shared" si="11"/>
        <v>1</v>
      </c>
      <c r="W35" s="9">
        <f t="shared" si="12"/>
        <v>0</v>
      </c>
    </row>
    <row r="36" spans="1:23" x14ac:dyDescent="0.35">
      <c r="A36" s="1" t="s">
        <v>35</v>
      </c>
      <c r="B36">
        <v>1105088.58490566</v>
      </c>
      <c r="C36">
        <v>1042200.081132076</v>
      </c>
      <c r="D36">
        <f t="shared" si="0"/>
        <v>1</v>
      </c>
      <c r="E36">
        <f t="shared" si="1"/>
        <v>0</v>
      </c>
      <c r="F36">
        <f t="shared" si="2"/>
        <v>0</v>
      </c>
      <c r="G36">
        <f t="shared" si="3"/>
        <v>1</v>
      </c>
      <c r="H36">
        <v>302086.50402442832</v>
      </c>
      <c r="I36">
        <v>227936.98311104841</v>
      </c>
      <c r="J36">
        <f t="shared" si="4"/>
        <v>1</v>
      </c>
      <c r="L36">
        <v>426584.34929361491</v>
      </c>
      <c r="M36">
        <v>333321.45582805609</v>
      </c>
      <c r="N36">
        <f t="shared" si="5"/>
        <v>0</v>
      </c>
      <c r="O36">
        <f t="shared" si="6"/>
        <v>0</v>
      </c>
      <c r="P36">
        <f t="shared" si="7"/>
        <v>1</v>
      </c>
      <c r="Q36">
        <f t="shared" si="8"/>
        <v>0</v>
      </c>
      <c r="R36">
        <v>2.4042531696673211E-2</v>
      </c>
      <c r="S36">
        <v>2.0416407304829812E-2</v>
      </c>
      <c r="T36">
        <f t="shared" si="9"/>
        <v>0</v>
      </c>
      <c r="U36">
        <f t="shared" si="10"/>
        <v>0</v>
      </c>
      <c r="V36">
        <f t="shared" si="11"/>
        <v>0</v>
      </c>
      <c r="W36" s="9">
        <f t="shared" si="12"/>
        <v>0</v>
      </c>
    </row>
    <row r="37" spans="1:23" x14ac:dyDescent="0.35">
      <c r="A37" s="1" t="s">
        <v>36</v>
      </c>
      <c r="B37">
        <v>1287432.620608899</v>
      </c>
      <c r="C37">
        <v>707270.53044496488</v>
      </c>
      <c r="D37">
        <f t="shared" si="0"/>
        <v>1</v>
      </c>
      <c r="E37">
        <f t="shared" si="1"/>
        <v>0</v>
      </c>
      <c r="F37">
        <f t="shared" si="2"/>
        <v>0</v>
      </c>
      <c r="G37">
        <f t="shared" si="3"/>
        <v>1</v>
      </c>
      <c r="H37">
        <v>360603.38123951782</v>
      </c>
      <c r="I37">
        <v>177595.0508892689</v>
      </c>
      <c r="J37">
        <f t="shared" si="4"/>
        <v>1</v>
      </c>
      <c r="L37">
        <v>72655.039996235646</v>
      </c>
      <c r="M37">
        <v>121613.6620551146</v>
      </c>
      <c r="N37">
        <f t="shared" si="5"/>
        <v>1</v>
      </c>
      <c r="O37">
        <f t="shared" si="6"/>
        <v>1</v>
      </c>
      <c r="P37">
        <f t="shared" si="7"/>
        <v>0</v>
      </c>
      <c r="Q37">
        <f t="shared" si="8"/>
        <v>0</v>
      </c>
      <c r="R37">
        <v>2.1083837661327542E-2</v>
      </c>
      <c r="S37">
        <v>3.5938270188291113E-2</v>
      </c>
      <c r="T37">
        <f t="shared" si="9"/>
        <v>1</v>
      </c>
      <c r="U37">
        <f t="shared" si="10"/>
        <v>0</v>
      </c>
      <c r="V37">
        <f t="shared" si="11"/>
        <v>0</v>
      </c>
      <c r="W37" s="9">
        <f t="shared" si="12"/>
        <v>1</v>
      </c>
    </row>
    <row r="38" spans="1:23" x14ac:dyDescent="0.35">
      <c r="A38" s="1" t="s">
        <v>37</v>
      </c>
      <c r="B38">
        <v>1927756.801664355</v>
      </c>
      <c r="C38">
        <v>2278454.2454923722</v>
      </c>
      <c r="D38">
        <f t="shared" si="0"/>
        <v>0</v>
      </c>
      <c r="E38">
        <f t="shared" si="1"/>
        <v>0</v>
      </c>
      <c r="F38">
        <f t="shared" si="2"/>
        <v>0</v>
      </c>
      <c r="G38">
        <f t="shared" si="3"/>
        <v>1</v>
      </c>
      <c r="H38">
        <v>504165.44246719882</v>
      </c>
      <c r="I38">
        <v>506037.28687575518</v>
      </c>
      <c r="J38">
        <f t="shared" si="4"/>
        <v>0</v>
      </c>
      <c r="L38">
        <v>577033.63470240938</v>
      </c>
      <c r="M38">
        <v>392003.66050412471</v>
      </c>
      <c r="N38">
        <f t="shared" si="5"/>
        <v>0</v>
      </c>
      <c r="O38">
        <f t="shared" si="6"/>
        <v>1</v>
      </c>
      <c r="P38">
        <f t="shared" si="7"/>
        <v>0</v>
      </c>
      <c r="Q38">
        <f t="shared" si="8"/>
        <v>0</v>
      </c>
      <c r="R38">
        <v>2.3503821461646767E-2</v>
      </c>
      <c r="S38">
        <v>3.1775921534679868E-2</v>
      </c>
      <c r="T38">
        <f t="shared" si="9"/>
        <v>1</v>
      </c>
      <c r="U38">
        <f t="shared" si="10"/>
        <v>0</v>
      </c>
      <c r="V38">
        <f t="shared" si="11"/>
        <v>0</v>
      </c>
      <c r="W38" s="9">
        <f t="shared" si="12"/>
        <v>1</v>
      </c>
    </row>
    <row r="39" spans="1:23" x14ac:dyDescent="0.35">
      <c r="A39" s="1" t="s">
        <v>38</v>
      </c>
      <c r="B39">
        <v>1165682.975471698</v>
      </c>
      <c r="C39">
        <v>867559.53773584904</v>
      </c>
      <c r="D39">
        <f t="shared" si="0"/>
        <v>1</v>
      </c>
      <c r="E39">
        <f t="shared" si="1"/>
        <v>0</v>
      </c>
      <c r="F39">
        <f t="shared" si="2"/>
        <v>0</v>
      </c>
      <c r="G39">
        <f t="shared" si="3"/>
        <v>1</v>
      </c>
      <c r="H39">
        <v>489014.21899555769</v>
      </c>
      <c r="I39">
        <v>221436.84482896439</v>
      </c>
      <c r="J39">
        <f t="shared" si="4"/>
        <v>1</v>
      </c>
      <c r="L39">
        <v>357270.80671277508</v>
      </c>
      <c r="M39">
        <v>285502.98892568279</v>
      </c>
      <c r="N39">
        <f t="shared" si="5"/>
        <v>0</v>
      </c>
      <c r="O39">
        <f t="shared" si="6"/>
        <v>0</v>
      </c>
      <c r="P39">
        <f t="shared" si="7"/>
        <v>0</v>
      </c>
      <c r="Q39">
        <f t="shared" si="8"/>
        <v>1</v>
      </c>
      <c r="R39">
        <v>3.5655832491189837E-2</v>
      </c>
      <c r="S39">
        <v>4.3774406709293348E-2</v>
      </c>
      <c r="T39">
        <f t="shared" si="9"/>
        <v>1</v>
      </c>
      <c r="U39">
        <f t="shared" si="10"/>
        <v>1</v>
      </c>
      <c r="V39">
        <f t="shared" si="11"/>
        <v>0</v>
      </c>
      <c r="W39" s="9">
        <f t="shared" si="12"/>
        <v>1</v>
      </c>
    </row>
    <row r="40" spans="1:23" x14ac:dyDescent="0.35">
      <c r="A40" s="1" t="s">
        <v>39</v>
      </c>
      <c r="B40">
        <v>1024083.566037736</v>
      </c>
      <c r="C40">
        <v>610409.75094339624</v>
      </c>
      <c r="D40">
        <f t="shared" si="0"/>
        <v>1</v>
      </c>
      <c r="E40">
        <f t="shared" si="1"/>
        <v>0</v>
      </c>
      <c r="F40">
        <f t="shared" si="2"/>
        <v>0</v>
      </c>
      <c r="G40">
        <f t="shared" si="3"/>
        <v>1</v>
      </c>
      <c r="H40">
        <v>444502.29998489912</v>
      </c>
      <c r="I40">
        <v>151740.2492513711</v>
      </c>
      <c r="J40">
        <f t="shared" si="4"/>
        <v>1</v>
      </c>
      <c r="L40">
        <v>279195.75553113548</v>
      </c>
      <c r="M40">
        <v>273804.68963030318</v>
      </c>
      <c r="N40">
        <f t="shared" si="5"/>
        <v>0</v>
      </c>
      <c r="O40">
        <f t="shared" si="6"/>
        <v>0</v>
      </c>
      <c r="P40">
        <f t="shared" si="7"/>
        <v>0</v>
      </c>
      <c r="Q40">
        <f t="shared" si="8"/>
        <v>1</v>
      </c>
      <c r="R40">
        <v>9.5356166173466515E-3</v>
      </c>
      <c r="S40">
        <v>1.6097164890243862E-2</v>
      </c>
      <c r="T40">
        <f t="shared" si="9"/>
        <v>1</v>
      </c>
      <c r="U40">
        <f t="shared" si="10"/>
        <v>1</v>
      </c>
      <c r="V40">
        <f t="shared" si="11"/>
        <v>0</v>
      </c>
      <c r="W40" s="9">
        <f t="shared" si="12"/>
        <v>1</v>
      </c>
    </row>
    <row r="41" spans="1:23" x14ac:dyDescent="0.35">
      <c r="A41" s="1" t="s">
        <v>40</v>
      </c>
      <c r="B41">
        <v>1852930.2994764401</v>
      </c>
      <c r="C41">
        <v>108400.5214659686</v>
      </c>
      <c r="D41">
        <f t="shared" si="0"/>
        <v>1</v>
      </c>
      <c r="E41">
        <f t="shared" si="1"/>
        <v>1</v>
      </c>
      <c r="F41">
        <f t="shared" si="2"/>
        <v>0</v>
      </c>
      <c r="G41">
        <f t="shared" si="3"/>
        <v>0</v>
      </c>
      <c r="H41">
        <v>605697.42716756626</v>
      </c>
      <c r="I41">
        <v>30320.66300273189</v>
      </c>
      <c r="J41">
        <f t="shared" si="4"/>
        <v>1</v>
      </c>
      <c r="L41">
        <v>38873.781416547892</v>
      </c>
      <c r="M41">
        <v>517637.24580800202</v>
      </c>
      <c r="N41">
        <f t="shared" si="5"/>
        <v>1</v>
      </c>
      <c r="O41">
        <f t="shared" si="6"/>
        <v>0</v>
      </c>
      <c r="P41">
        <f t="shared" si="7"/>
        <v>0</v>
      </c>
      <c r="Q41">
        <f t="shared" si="8"/>
        <v>0</v>
      </c>
      <c r="R41">
        <v>2.9310026675098504E-2</v>
      </c>
      <c r="S41">
        <v>1.9166002535541305E-3</v>
      </c>
      <c r="T41">
        <f t="shared" si="9"/>
        <v>0</v>
      </c>
      <c r="U41">
        <f t="shared" si="10"/>
        <v>0</v>
      </c>
      <c r="V41">
        <f t="shared" si="11"/>
        <v>0</v>
      </c>
      <c r="W41" s="9">
        <f t="shared" si="12"/>
        <v>1</v>
      </c>
    </row>
    <row r="42" spans="1:23" x14ac:dyDescent="0.35">
      <c r="A42" s="1" t="s">
        <v>41</v>
      </c>
      <c r="B42">
        <v>1189078.7056603769</v>
      </c>
      <c r="C42">
        <v>1019767.3962264149</v>
      </c>
      <c r="D42">
        <f t="shared" si="0"/>
        <v>1</v>
      </c>
      <c r="E42">
        <f t="shared" si="1"/>
        <v>0</v>
      </c>
      <c r="F42">
        <f t="shared" si="2"/>
        <v>0</v>
      </c>
      <c r="G42">
        <f t="shared" si="3"/>
        <v>1</v>
      </c>
      <c r="H42">
        <v>548580.45804098994</v>
      </c>
      <c r="I42">
        <v>211917.44381487809</v>
      </c>
      <c r="J42">
        <f t="shared" si="4"/>
        <v>1</v>
      </c>
      <c r="L42">
        <v>422167.63817307691</v>
      </c>
      <c r="M42">
        <v>312824.05998809641</v>
      </c>
      <c r="N42">
        <f t="shared" si="5"/>
        <v>0</v>
      </c>
      <c r="O42">
        <f t="shared" si="6"/>
        <v>0</v>
      </c>
      <c r="P42">
        <f t="shared" si="7"/>
        <v>0</v>
      </c>
      <c r="Q42">
        <f t="shared" si="8"/>
        <v>1</v>
      </c>
      <c r="R42">
        <v>2.645998985405525E-2</v>
      </c>
      <c r="S42">
        <v>7.0217112430140657E-2</v>
      </c>
      <c r="T42">
        <f t="shared" si="9"/>
        <v>1</v>
      </c>
      <c r="U42">
        <f t="shared" si="10"/>
        <v>1</v>
      </c>
      <c r="V42">
        <f t="shared" si="11"/>
        <v>0</v>
      </c>
      <c r="W42" s="9">
        <f t="shared" si="12"/>
        <v>1</v>
      </c>
    </row>
    <row r="43" spans="1:23" x14ac:dyDescent="0.35">
      <c r="A43" s="1" t="s">
        <v>42</v>
      </c>
      <c r="B43">
        <v>432408.13893376407</v>
      </c>
      <c r="C43">
        <v>65869.607431340875</v>
      </c>
      <c r="D43">
        <f t="shared" si="0"/>
        <v>1</v>
      </c>
      <c r="E43">
        <f t="shared" si="1"/>
        <v>1</v>
      </c>
      <c r="F43">
        <f t="shared" si="2"/>
        <v>0</v>
      </c>
      <c r="G43">
        <f t="shared" si="3"/>
        <v>0</v>
      </c>
      <c r="H43">
        <v>162464.1093823039</v>
      </c>
      <c r="I43">
        <v>25076.662965077991</v>
      </c>
      <c r="J43">
        <f t="shared" si="4"/>
        <v>1</v>
      </c>
      <c r="L43">
        <v>22937.572224321601</v>
      </c>
      <c r="M43">
        <v>157640.42027657051</v>
      </c>
      <c r="N43">
        <f t="shared" si="5"/>
        <v>1</v>
      </c>
      <c r="O43">
        <f t="shared" si="6"/>
        <v>0</v>
      </c>
      <c r="P43">
        <f t="shared" si="7"/>
        <v>0</v>
      </c>
      <c r="Q43">
        <f t="shared" si="8"/>
        <v>0</v>
      </c>
      <c r="R43">
        <v>3.1600600572664769E-2</v>
      </c>
      <c r="S43">
        <v>1.0515399107656979E-2</v>
      </c>
      <c r="T43">
        <f t="shared" si="9"/>
        <v>0</v>
      </c>
      <c r="U43">
        <f t="shared" si="10"/>
        <v>0</v>
      </c>
      <c r="V43">
        <f t="shared" si="11"/>
        <v>0</v>
      </c>
      <c r="W43" s="9">
        <f t="shared" si="12"/>
        <v>1</v>
      </c>
    </row>
    <row r="44" spans="1:23" x14ac:dyDescent="0.35">
      <c r="A44" s="1" t="s">
        <v>43</v>
      </c>
      <c r="B44">
        <v>1012883.011320755</v>
      </c>
      <c r="C44">
        <v>1128854.8754716979</v>
      </c>
      <c r="D44">
        <f t="shared" si="0"/>
        <v>0</v>
      </c>
      <c r="E44">
        <f t="shared" si="1"/>
        <v>0</v>
      </c>
      <c r="F44">
        <f t="shared" si="2"/>
        <v>0</v>
      </c>
      <c r="G44">
        <f t="shared" si="3"/>
        <v>1</v>
      </c>
      <c r="H44">
        <v>344224.57870879793</v>
      </c>
      <c r="I44">
        <v>229627.27029986729</v>
      </c>
      <c r="J44">
        <f t="shared" si="4"/>
        <v>1</v>
      </c>
      <c r="L44">
        <v>452576.88646351459</v>
      </c>
      <c r="M44">
        <v>265922.50067922007</v>
      </c>
      <c r="N44">
        <f t="shared" si="5"/>
        <v>0</v>
      </c>
      <c r="O44">
        <f t="shared" si="6"/>
        <v>0</v>
      </c>
      <c r="P44">
        <f t="shared" si="7"/>
        <v>1</v>
      </c>
      <c r="Q44">
        <f t="shared" si="8"/>
        <v>0</v>
      </c>
      <c r="R44">
        <v>4.0996154291461279E-2</v>
      </c>
      <c r="S44">
        <v>3.1095852553145988E-2</v>
      </c>
      <c r="T44">
        <f t="shared" si="9"/>
        <v>0</v>
      </c>
      <c r="U44">
        <f t="shared" si="10"/>
        <v>0</v>
      </c>
      <c r="V44">
        <f t="shared" si="11"/>
        <v>0</v>
      </c>
      <c r="W44" s="9">
        <f t="shared" si="12"/>
        <v>0</v>
      </c>
    </row>
    <row r="45" spans="1:23" x14ac:dyDescent="0.35">
      <c r="A45" s="1" t="s">
        <v>44</v>
      </c>
      <c r="B45">
        <v>1134232.7132075471</v>
      </c>
      <c r="C45">
        <v>1080270.918867924</v>
      </c>
      <c r="D45">
        <f t="shared" si="0"/>
        <v>1</v>
      </c>
      <c r="E45">
        <f t="shared" si="1"/>
        <v>0</v>
      </c>
      <c r="F45">
        <f t="shared" si="2"/>
        <v>0</v>
      </c>
      <c r="G45">
        <f t="shared" si="3"/>
        <v>1</v>
      </c>
      <c r="H45">
        <v>438619.54772608512</v>
      </c>
      <c r="I45">
        <v>251313.8787565394</v>
      </c>
      <c r="J45">
        <f t="shared" si="4"/>
        <v>1</v>
      </c>
      <c r="L45">
        <v>442313.29135710688</v>
      </c>
      <c r="M45">
        <v>289042.49594624201</v>
      </c>
      <c r="N45">
        <f t="shared" si="5"/>
        <v>0</v>
      </c>
      <c r="O45">
        <f t="shared" si="6"/>
        <v>0</v>
      </c>
      <c r="P45">
        <f t="shared" si="7"/>
        <v>0</v>
      </c>
      <c r="Q45">
        <f t="shared" si="8"/>
        <v>1</v>
      </c>
      <c r="R45">
        <v>5.2787176304118236E-2</v>
      </c>
      <c r="S45">
        <v>2.9063843125650132E-2</v>
      </c>
      <c r="T45">
        <f t="shared" si="9"/>
        <v>0</v>
      </c>
      <c r="U45">
        <f t="shared" si="10"/>
        <v>0</v>
      </c>
      <c r="V45">
        <f t="shared" si="11"/>
        <v>1</v>
      </c>
      <c r="W45" s="9">
        <f t="shared" si="12"/>
        <v>0</v>
      </c>
    </row>
    <row r="46" spans="1:23" x14ac:dyDescent="0.35">
      <c r="A46" s="1" t="s">
        <v>45</v>
      </c>
      <c r="B46">
        <v>1029511.1394366201</v>
      </c>
      <c r="C46">
        <v>1077760.4281690139</v>
      </c>
      <c r="D46">
        <f t="shared" si="0"/>
        <v>0</v>
      </c>
      <c r="E46">
        <f t="shared" si="1"/>
        <v>0</v>
      </c>
      <c r="F46">
        <f t="shared" si="2"/>
        <v>0</v>
      </c>
      <c r="G46">
        <f t="shared" si="3"/>
        <v>1</v>
      </c>
      <c r="H46">
        <v>481980.69368410332</v>
      </c>
      <c r="I46">
        <v>286278.35225825052</v>
      </c>
      <c r="J46">
        <f t="shared" si="4"/>
        <v>1</v>
      </c>
      <c r="L46">
        <v>489298.67515157448</v>
      </c>
      <c r="M46">
        <v>306174.25190740678</v>
      </c>
      <c r="N46">
        <f t="shared" si="5"/>
        <v>0</v>
      </c>
      <c r="O46">
        <f t="shared" si="6"/>
        <v>0</v>
      </c>
      <c r="P46">
        <f t="shared" si="7"/>
        <v>0</v>
      </c>
      <c r="Q46">
        <f t="shared" si="8"/>
        <v>1</v>
      </c>
      <c r="R46">
        <v>4.1972395758463336E-2</v>
      </c>
      <c r="S46">
        <v>1.3346717407855962E-2</v>
      </c>
      <c r="T46">
        <f t="shared" si="9"/>
        <v>0</v>
      </c>
      <c r="U46">
        <f t="shared" si="10"/>
        <v>0</v>
      </c>
      <c r="V46">
        <f t="shared" si="11"/>
        <v>1</v>
      </c>
      <c r="W46" s="9">
        <f t="shared" si="12"/>
        <v>0</v>
      </c>
    </row>
    <row r="47" spans="1:23" x14ac:dyDescent="0.35">
      <c r="A47" s="1" t="s">
        <v>46</v>
      </c>
      <c r="B47">
        <v>941655.55102040817</v>
      </c>
      <c r="C47">
        <v>1069520.9460641399</v>
      </c>
      <c r="D47">
        <f t="shared" si="0"/>
        <v>0</v>
      </c>
      <c r="E47">
        <f t="shared" si="1"/>
        <v>0</v>
      </c>
      <c r="F47">
        <f t="shared" si="2"/>
        <v>0</v>
      </c>
      <c r="G47">
        <f t="shared" si="3"/>
        <v>1</v>
      </c>
      <c r="H47">
        <v>254243.65354080341</v>
      </c>
      <c r="I47">
        <v>260233.88576621341</v>
      </c>
      <c r="J47">
        <f t="shared" si="4"/>
        <v>0</v>
      </c>
      <c r="L47">
        <v>326946.65458212967</v>
      </c>
      <c r="M47">
        <v>244435.53002330201</v>
      </c>
      <c r="N47">
        <f t="shared" si="5"/>
        <v>0</v>
      </c>
      <c r="O47">
        <f t="shared" si="6"/>
        <v>0</v>
      </c>
      <c r="P47">
        <f t="shared" si="7"/>
        <v>1</v>
      </c>
      <c r="Q47">
        <f t="shared" si="8"/>
        <v>0</v>
      </c>
      <c r="R47">
        <v>4.6664786224864321E-2</v>
      </c>
      <c r="S47">
        <v>1.7299834057279802E-2</v>
      </c>
      <c r="T47">
        <f t="shared" si="9"/>
        <v>0</v>
      </c>
      <c r="U47">
        <f t="shared" si="10"/>
        <v>0</v>
      </c>
      <c r="V47">
        <f t="shared" si="11"/>
        <v>0</v>
      </c>
      <c r="W47" s="9">
        <f t="shared" si="12"/>
        <v>0</v>
      </c>
    </row>
    <row r="48" spans="1:23" x14ac:dyDescent="0.35">
      <c r="A48" s="1" t="s">
        <v>47</v>
      </c>
      <c r="B48">
        <v>1105019.9320754721</v>
      </c>
      <c r="C48">
        <v>1287076.0226415091</v>
      </c>
      <c r="D48">
        <f t="shared" si="0"/>
        <v>0</v>
      </c>
      <c r="E48">
        <f t="shared" si="1"/>
        <v>0</v>
      </c>
      <c r="F48">
        <f t="shared" si="2"/>
        <v>0</v>
      </c>
      <c r="G48">
        <f t="shared" si="3"/>
        <v>1</v>
      </c>
      <c r="H48">
        <v>422638.4622341427</v>
      </c>
      <c r="I48">
        <v>314654.44292008382</v>
      </c>
      <c r="J48">
        <f t="shared" si="4"/>
        <v>1</v>
      </c>
      <c r="L48">
        <v>481840.97240896348</v>
      </c>
      <c r="M48">
        <v>266281.4186268496</v>
      </c>
      <c r="N48">
        <f t="shared" si="5"/>
        <v>0</v>
      </c>
      <c r="O48">
        <f t="shared" si="6"/>
        <v>0</v>
      </c>
      <c r="P48">
        <f t="shared" si="7"/>
        <v>0</v>
      </c>
      <c r="Q48">
        <f t="shared" si="8"/>
        <v>1</v>
      </c>
      <c r="R48">
        <v>4.1176808451508382E-2</v>
      </c>
      <c r="S48">
        <v>3.0079974559872963E-2</v>
      </c>
      <c r="T48">
        <f t="shared" si="9"/>
        <v>0</v>
      </c>
      <c r="U48">
        <f t="shared" si="10"/>
        <v>0</v>
      </c>
      <c r="V48">
        <f t="shared" si="11"/>
        <v>1</v>
      </c>
      <c r="W48" s="9">
        <f t="shared" si="12"/>
        <v>0</v>
      </c>
    </row>
    <row r="49" spans="1:23" x14ac:dyDescent="0.35">
      <c r="A49" s="1" t="s">
        <v>48</v>
      </c>
      <c r="B49">
        <v>856323.32296296302</v>
      </c>
      <c r="C49">
        <v>72145.903703703705</v>
      </c>
      <c r="D49">
        <f t="shared" si="0"/>
        <v>1</v>
      </c>
      <c r="E49">
        <f t="shared" si="1"/>
        <v>1</v>
      </c>
      <c r="F49">
        <f t="shared" si="2"/>
        <v>0</v>
      </c>
      <c r="G49">
        <f t="shared" si="3"/>
        <v>0</v>
      </c>
      <c r="H49">
        <v>341830.44267874729</v>
      </c>
      <c r="I49">
        <v>26266.013534580889</v>
      </c>
      <c r="J49">
        <f t="shared" si="4"/>
        <v>1</v>
      </c>
      <c r="L49">
        <v>22570.236726228952</v>
      </c>
      <c r="M49">
        <v>188076.29265305569</v>
      </c>
      <c r="N49">
        <f t="shared" si="5"/>
        <v>1</v>
      </c>
      <c r="O49">
        <f t="shared" si="6"/>
        <v>0</v>
      </c>
      <c r="P49">
        <f t="shared" si="7"/>
        <v>0</v>
      </c>
      <c r="Q49">
        <f t="shared" si="8"/>
        <v>0</v>
      </c>
      <c r="R49">
        <v>2.2167636609203151E-2</v>
      </c>
      <c r="S49">
        <v>1.19132753101683E-2</v>
      </c>
      <c r="T49">
        <f t="shared" si="9"/>
        <v>0</v>
      </c>
      <c r="U49">
        <f t="shared" si="10"/>
        <v>0</v>
      </c>
      <c r="V49">
        <f t="shared" si="11"/>
        <v>0</v>
      </c>
      <c r="W49" s="9">
        <f t="shared" si="12"/>
        <v>1</v>
      </c>
    </row>
    <row r="50" spans="1:23" x14ac:dyDescent="0.35">
      <c r="A50" s="1" t="s">
        <v>49</v>
      </c>
      <c r="B50">
        <v>1608550.699040767</v>
      </c>
      <c r="C50">
        <v>1175921.794964029</v>
      </c>
      <c r="D50">
        <f t="shared" si="0"/>
        <v>1</v>
      </c>
      <c r="E50">
        <f t="shared" si="1"/>
        <v>0</v>
      </c>
      <c r="F50">
        <f t="shared" si="2"/>
        <v>0</v>
      </c>
      <c r="G50">
        <f t="shared" si="3"/>
        <v>1</v>
      </c>
      <c r="H50">
        <v>634487.64658442151</v>
      </c>
      <c r="I50">
        <v>259008.7463316418</v>
      </c>
      <c r="J50">
        <f t="shared" si="4"/>
        <v>1</v>
      </c>
      <c r="L50">
        <v>573098.75692843564</v>
      </c>
      <c r="M50">
        <v>406343.59811977908</v>
      </c>
      <c r="N50">
        <f t="shared" si="5"/>
        <v>0</v>
      </c>
      <c r="O50">
        <f t="shared" si="6"/>
        <v>0</v>
      </c>
      <c r="P50">
        <f t="shared" si="7"/>
        <v>0</v>
      </c>
      <c r="Q50">
        <f t="shared" si="8"/>
        <v>1</v>
      </c>
      <c r="R50">
        <v>1.3048196187826417E-3</v>
      </c>
      <c r="S50">
        <v>3.2449499651069719E-2</v>
      </c>
      <c r="T50">
        <f t="shared" si="9"/>
        <v>1</v>
      </c>
      <c r="U50">
        <f t="shared" si="10"/>
        <v>1</v>
      </c>
      <c r="V50">
        <f t="shared" si="11"/>
        <v>0</v>
      </c>
      <c r="W50" s="9">
        <f t="shared" si="12"/>
        <v>1</v>
      </c>
    </row>
    <row r="51" spans="1:23" x14ac:dyDescent="0.35">
      <c r="A51" s="1" t="s">
        <v>50</v>
      </c>
      <c r="B51">
        <v>2457120.8149509798</v>
      </c>
      <c r="C51">
        <v>1781234.8921568629</v>
      </c>
      <c r="D51">
        <f t="shared" si="0"/>
        <v>1</v>
      </c>
      <c r="E51">
        <f t="shared" si="1"/>
        <v>0</v>
      </c>
      <c r="F51">
        <f t="shared" si="2"/>
        <v>0</v>
      </c>
      <c r="G51">
        <f t="shared" si="3"/>
        <v>1</v>
      </c>
      <c r="H51">
        <v>825833.51943386742</v>
      </c>
      <c r="I51">
        <v>443744.27950515703</v>
      </c>
      <c r="J51">
        <f t="shared" si="4"/>
        <v>1</v>
      </c>
      <c r="L51">
        <v>836910.51275624009</v>
      </c>
      <c r="M51">
        <v>590155.69986386271</v>
      </c>
      <c r="N51">
        <f t="shared" si="5"/>
        <v>0</v>
      </c>
      <c r="O51">
        <f t="shared" si="6"/>
        <v>0</v>
      </c>
      <c r="P51">
        <f t="shared" si="7"/>
        <v>1</v>
      </c>
      <c r="Q51">
        <f t="shared" si="8"/>
        <v>0</v>
      </c>
      <c r="R51">
        <v>1.4829734118874172E-3</v>
      </c>
      <c r="S51">
        <v>6.7944725549772401E-4</v>
      </c>
      <c r="T51">
        <f t="shared" si="9"/>
        <v>0</v>
      </c>
      <c r="U51">
        <f t="shared" si="10"/>
        <v>0</v>
      </c>
      <c r="V51">
        <f t="shared" si="11"/>
        <v>0</v>
      </c>
      <c r="W51" s="9">
        <f t="shared" si="12"/>
        <v>0</v>
      </c>
    </row>
    <row r="52" spans="1:23" x14ac:dyDescent="0.35">
      <c r="A52" s="1" t="s">
        <v>51</v>
      </c>
      <c r="B52">
        <v>631645.9312169312</v>
      </c>
      <c r="C52">
        <v>680109.60493827157</v>
      </c>
      <c r="D52">
        <f t="shared" si="0"/>
        <v>0</v>
      </c>
      <c r="E52">
        <f t="shared" si="1"/>
        <v>0</v>
      </c>
      <c r="F52">
        <f t="shared" si="2"/>
        <v>0</v>
      </c>
      <c r="G52">
        <f t="shared" si="3"/>
        <v>1</v>
      </c>
      <c r="H52">
        <v>285063.94746732019</v>
      </c>
      <c r="I52">
        <v>189189.7790583187</v>
      </c>
      <c r="J52">
        <f t="shared" si="4"/>
        <v>1</v>
      </c>
      <c r="L52">
        <v>318910.52012781822</v>
      </c>
      <c r="M52">
        <v>159805.18616073721</v>
      </c>
      <c r="N52">
        <f t="shared" si="5"/>
        <v>0</v>
      </c>
      <c r="O52">
        <f t="shared" si="6"/>
        <v>0</v>
      </c>
      <c r="P52">
        <f t="shared" si="7"/>
        <v>0</v>
      </c>
      <c r="Q52">
        <f t="shared" si="8"/>
        <v>1</v>
      </c>
      <c r="R52">
        <v>4.9302937028434055E-3</v>
      </c>
      <c r="S52">
        <v>4.8618955338737826E-3</v>
      </c>
      <c r="T52">
        <f t="shared" si="9"/>
        <v>0</v>
      </c>
      <c r="U52">
        <f t="shared" si="10"/>
        <v>0</v>
      </c>
      <c r="V52">
        <f t="shared" si="11"/>
        <v>1</v>
      </c>
      <c r="W52" s="9">
        <f t="shared" si="12"/>
        <v>0</v>
      </c>
    </row>
    <row r="53" spans="1:23" x14ac:dyDescent="0.35">
      <c r="A53" s="1" t="s">
        <v>52</v>
      </c>
      <c r="B53">
        <v>1066453.4576962281</v>
      </c>
      <c r="C53">
        <v>57916.967380224261</v>
      </c>
      <c r="D53">
        <f t="shared" si="0"/>
        <v>1</v>
      </c>
      <c r="E53">
        <f t="shared" si="1"/>
        <v>1</v>
      </c>
      <c r="F53">
        <f t="shared" si="2"/>
        <v>0</v>
      </c>
      <c r="G53">
        <f t="shared" si="3"/>
        <v>0</v>
      </c>
      <c r="H53">
        <v>298896.35508055828</v>
      </c>
      <c r="I53">
        <v>11947.86370960043</v>
      </c>
      <c r="J53">
        <f t="shared" si="4"/>
        <v>1</v>
      </c>
      <c r="L53">
        <v>12328.62964922735</v>
      </c>
      <c r="M53">
        <v>223753.14095975331</v>
      </c>
      <c r="N53">
        <f t="shared" si="5"/>
        <v>1</v>
      </c>
      <c r="O53">
        <f t="shared" si="6"/>
        <v>0</v>
      </c>
      <c r="P53">
        <f t="shared" si="7"/>
        <v>0</v>
      </c>
      <c r="Q53">
        <f t="shared" si="8"/>
        <v>0</v>
      </c>
      <c r="R53">
        <v>2.2651222352722093E-2</v>
      </c>
      <c r="S53">
        <v>1.3027073488372452E-2</v>
      </c>
      <c r="T53">
        <f t="shared" si="9"/>
        <v>0</v>
      </c>
      <c r="U53">
        <f t="shared" si="10"/>
        <v>0</v>
      </c>
      <c r="V53">
        <f t="shared" si="11"/>
        <v>0</v>
      </c>
      <c r="W53" s="9">
        <f t="shared" si="12"/>
        <v>1</v>
      </c>
    </row>
    <row r="54" spans="1:23" x14ac:dyDescent="0.35">
      <c r="A54" s="1" t="s">
        <v>53</v>
      </c>
      <c r="B54">
        <v>780596.97023153258</v>
      </c>
      <c r="C54">
        <v>920751.35170893057</v>
      </c>
      <c r="D54">
        <f t="shared" si="0"/>
        <v>0</v>
      </c>
      <c r="E54">
        <f t="shared" si="1"/>
        <v>0</v>
      </c>
      <c r="F54">
        <f t="shared" si="2"/>
        <v>0</v>
      </c>
      <c r="G54">
        <f t="shared" si="3"/>
        <v>1</v>
      </c>
      <c r="H54">
        <v>302666.3058767558</v>
      </c>
      <c r="I54">
        <v>263933.71893774671</v>
      </c>
      <c r="J54">
        <f t="shared" si="4"/>
        <v>1</v>
      </c>
      <c r="L54">
        <v>326075.47861768951</v>
      </c>
      <c r="M54">
        <v>240721.5499152556</v>
      </c>
      <c r="N54">
        <f t="shared" si="5"/>
        <v>0</v>
      </c>
      <c r="O54">
        <f t="shared" si="6"/>
        <v>0</v>
      </c>
      <c r="P54">
        <f t="shared" si="7"/>
        <v>0</v>
      </c>
      <c r="Q54">
        <f t="shared" si="8"/>
        <v>1</v>
      </c>
      <c r="R54">
        <v>2.0900102465505447E-2</v>
      </c>
      <c r="S54">
        <v>2.3970152534705153E-2</v>
      </c>
      <c r="T54">
        <f t="shared" si="9"/>
        <v>1</v>
      </c>
      <c r="U54">
        <f t="shared" si="10"/>
        <v>1</v>
      </c>
      <c r="V54">
        <f t="shared" si="11"/>
        <v>0</v>
      </c>
      <c r="W54" s="9">
        <f t="shared" si="12"/>
        <v>1</v>
      </c>
    </row>
    <row r="55" spans="1:23" x14ac:dyDescent="0.35">
      <c r="A55" s="1" t="s">
        <v>54</v>
      </c>
      <c r="B55">
        <v>988906.98137802607</v>
      </c>
      <c r="C55">
        <v>833198.56424581003</v>
      </c>
      <c r="D55">
        <f t="shared" si="0"/>
        <v>1</v>
      </c>
      <c r="E55">
        <f t="shared" si="1"/>
        <v>0</v>
      </c>
      <c r="F55">
        <f t="shared" si="2"/>
        <v>0</v>
      </c>
      <c r="G55">
        <f t="shared" si="3"/>
        <v>1</v>
      </c>
      <c r="H55">
        <v>373507.07706175139</v>
      </c>
      <c r="I55">
        <v>206237.49575228099</v>
      </c>
      <c r="J55">
        <f t="shared" si="4"/>
        <v>1</v>
      </c>
      <c r="L55">
        <v>295415.8261119636</v>
      </c>
      <c r="M55">
        <v>207976.97811504139</v>
      </c>
      <c r="N55">
        <f t="shared" si="5"/>
        <v>0</v>
      </c>
      <c r="O55">
        <f t="shared" si="6"/>
        <v>1</v>
      </c>
      <c r="P55">
        <f t="shared" si="7"/>
        <v>0</v>
      </c>
      <c r="Q55">
        <f t="shared" si="8"/>
        <v>0</v>
      </c>
      <c r="R55">
        <v>2.6267525443153965E-2</v>
      </c>
      <c r="S55">
        <v>3.6397364042143978E-3</v>
      </c>
      <c r="T55">
        <f t="shared" si="9"/>
        <v>0</v>
      </c>
      <c r="U55">
        <f t="shared" si="10"/>
        <v>0</v>
      </c>
      <c r="V55">
        <f t="shared" si="11"/>
        <v>0</v>
      </c>
      <c r="W55" s="9">
        <f t="shared" si="12"/>
        <v>1</v>
      </c>
    </row>
    <row r="56" spans="1:23" x14ac:dyDescent="0.35">
      <c r="A56" s="1" t="s">
        <v>55</v>
      </c>
      <c r="B56">
        <v>675210.55417185556</v>
      </c>
      <c r="C56">
        <v>1121882.803237858</v>
      </c>
      <c r="D56">
        <f t="shared" si="0"/>
        <v>0</v>
      </c>
      <c r="E56">
        <f t="shared" si="1"/>
        <v>0</v>
      </c>
      <c r="F56">
        <f t="shared" si="2"/>
        <v>0</v>
      </c>
      <c r="G56">
        <f t="shared" si="3"/>
        <v>1</v>
      </c>
      <c r="H56">
        <v>260851.3698778039</v>
      </c>
      <c r="I56">
        <v>314142.07681831962</v>
      </c>
      <c r="J56">
        <f t="shared" si="4"/>
        <v>0</v>
      </c>
      <c r="L56">
        <v>417436.08730946772</v>
      </c>
      <c r="M56">
        <v>163594.45319703969</v>
      </c>
      <c r="N56">
        <f t="shared" si="5"/>
        <v>0</v>
      </c>
      <c r="O56">
        <f t="shared" si="6"/>
        <v>0</v>
      </c>
      <c r="P56">
        <f t="shared" si="7"/>
        <v>0</v>
      </c>
      <c r="Q56">
        <f t="shared" si="8"/>
        <v>1</v>
      </c>
      <c r="R56">
        <v>2.5761320716479245E-2</v>
      </c>
      <c r="S56">
        <v>3.702318790919059E-2</v>
      </c>
      <c r="T56">
        <f t="shared" si="9"/>
        <v>1</v>
      </c>
      <c r="U56">
        <f t="shared" si="10"/>
        <v>1</v>
      </c>
      <c r="V56">
        <f t="shared" si="11"/>
        <v>0</v>
      </c>
      <c r="W56" s="9">
        <f t="shared" si="12"/>
        <v>1</v>
      </c>
    </row>
    <row r="57" spans="1:23" x14ac:dyDescent="0.35">
      <c r="A57" s="1" t="s">
        <v>56</v>
      </c>
      <c r="B57">
        <v>1133973.3264150941</v>
      </c>
      <c r="C57">
        <v>1040620.6037735851</v>
      </c>
      <c r="D57">
        <f t="shared" si="0"/>
        <v>1</v>
      </c>
      <c r="E57">
        <f t="shared" si="1"/>
        <v>0</v>
      </c>
      <c r="F57">
        <f t="shared" si="2"/>
        <v>0</v>
      </c>
      <c r="G57">
        <f t="shared" si="3"/>
        <v>1</v>
      </c>
      <c r="H57">
        <v>467666.35925163247</v>
      </c>
      <c r="I57">
        <v>215711.82654249371</v>
      </c>
      <c r="J57">
        <f t="shared" si="4"/>
        <v>1</v>
      </c>
      <c r="L57">
        <v>439786.81436355307</v>
      </c>
      <c r="M57">
        <v>263049.65756735782</v>
      </c>
      <c r="N57">
        <f t="shared" si="5"/>
        <v>0</v>
      </c>
      <c r="O57">
        <f t="shared" si="6"/>
        <v>0</v>
      </c>
      <c r="P57">
        <f t="shared" si="7"/>
        <v>0</v>
      </c>
      <c r="Q57">
        <f t="shared" si="8"/>
        <v>1</v>
      </c>
      <c r="R57">
        <v>7.5537646018077331E-2</v>
      </c>
      <c r="S57">
        <v>4.8017879109404346E-2</v>
      </c>
      <c r="T57">
        <f t="shared" si="9"/>
        <v>0</v>
      </c>
      <c r="U57">
        <f t="shared" si="10"/>
        <v>0</v>
      </c>
      <c r="V57">
        <f t="shared" si="11"/>
        <v>1</v>
      </c>
      <c r="W57" s="9">
        <f t="shared" si="12"/>
        <v>0</v>
      </c>
    </row>
    <row r="58" spans="1:23" x14ac:dyDescent="0.35">
      <c r="A58" s="1" t="s">
        <v>57</v>
      </c>
      <c r="B58">
        <v>940932.33396226412</v>
      </c>
      <c r="C58">
        <v>871062.91886792448</v>
      </c>
      <c r="D58">
        <f t="shared" si="0"/>
        <v>1</v>
      </c>
      <c r="E58">
        <f t="shared" si="1"/>
        <v>0</v>
      </c>
      <c r="F58">
        <f t="shared" si="2"/>
        <v>0</v>
      </c>
      <c r="G58">
        <f t="shared" si="3"/>
        <v>1</v>
      </c>
      <c r="H58">
        <v>444331.5207507257</v>
      </c>
      <c r="I58">
        <v>211501.74637613251</v>
      </c>
      <c r="J58">
        <f t="shared" si="4"/>
        <v>1</v>
      </c>
      <c r="L58">
        <v>414824.8909620624</v>
      </c>
      <c r="M58">
        <v>237917.58355582069</v>
      </c>
      <c r="N58">
        <f t="shared" si="5"/>
        <v>0</v>
      </c>
      <c r="O58">
        <f t="shared" si="6"/>
        <v>0</v>
      </c>
      <c r="P58">
        <f t="shared" si="7"/>
        <v>0</v>
      </c>
      <c r="Q58">
        <f t="shared" si="8"/>
        <v>1</v>
      </c>
      <c r="R58">
        <v>3.1326280725638474E-3</v>
      </c>
      <c r="S58">
        <v>9.2455929060501485E-3</v>
      </c>
      <c r="T58">
        <f t="shared" si="9"/>
        <v>1</v>
      </c>
      <c r="U58">
        <f t="shared" si="10"/>
        <v>1</v>
      </c>
      <c r="V58">
        <f t="shared" si="11"/>
        <v>0</v>
      </c>
      <c r="W58" s="9">
        <f t="shared" si="12"/>
        <v>1</v>
      </c>
    </row>
    <row r="59" spans="1:23" x14ac:dyDescent="0.35">
      <c r="A59" s="1" t="s">
        <v>58</v>
      </c>
      <c r="B59">
        <v>511091.04454342992</v>
      </c>
      <c r="C59">
        <v>428705.79398663703</v>
      </c>
      <c r="D59">
        <f t="shared" si="0"/>
        <v>1</v>
      </c>
      <c r="E59">
        <f t="shared" si="1"/>
        <v>0</v>
      </c>
      <c r="F59">
        <f t="shared" si="2"/>
        <v>0</v>
      </c>
      <c r="G59">
        <f t="shared" si="3"/>
        <v>1</v>
      </c>
      <c r="H59">
        <v>172601.82586672291</v>
      </c>
      <c r="I59">
        <v>128471.0997616628</v>
      </c>
      <c r="J59">
        <f t="shared" si="4"/>
        <v>1</v>
      </c>
      <c r="L59">
        <v>88417.638558201055</v>
      </c>
      <c r="M59">
        <v>106051.92840066949</v>
      </c>
      <c r="N59">
        <f t="shared" si="5"/>
        <v>1</v>
      </c>
      <c r="O59">
        <f t="shared" si="6"/>
        <v>1</v>
      </c>
      <c r="P59">
        <f t="shared" si="7"/>
        <v>0</v>
      </c>
      <c r="Q59">
        <f t="shared" si="8"/>
        <v>0</v>
      </c>
      <c r="R59">
        <v>1.7496766470150506E-2</v>
      </c>
      <c r="S59">
        <v>2.4883859689056355E-2</v>
      </c>
      <c r="T59">
        <f t="shared" si="9"/>
        <v>1</v>
      </c>
      <c r="U59">
        <f t="shared" si="10"/>
        <v>0</v>
      </c>
      <c r="V59">
        <f t="shared" si="11"/>
        <v>0</v>
      </c>
      <c r="W59" s="9">
        <f t="shared" si="12"/>
        <v>1</v>
      </c>
    </row>
    <row r="60" spans="1:23" x14ac:dyDescent="0.35">
      <c r="A60" s="1" t="s">
        <v>59</v>
      </c>
      <c r="B60">
        <v>1068163.230202578</v>
      </c>
      <c r="C60">
        <v>31486.132596685082</v>
      </c>
      <c r="D60">
        <f t="shared" si="0"/>
        <v>1</v>
      </c>
      <c r="E60">
        <f t="shared" si="1"/>
        <v>1</v>
      </c>
      <c r="F60">
        <f t="shared" si="2"/>
        <v>0</v>
      </c>
      <c r="G60">
        <f t="shared" si="3"/>
        <v>0</v>
      </c>
      <c r="H60">
        <v>354961.59696861211</v>
      </c>
      <c r="I60">
        <v>8177.2303435454733</v>
      </c>
      <c r="J60">
        <f t="shared" si="4"/>
        <v>1</v>
      </c>
      <c r="L60">
        <v>9791.5052673693972</v>
      </c>
      <c r="M60">
        <v>288951.91132646461</v>
      </c>
      <c r="N60">
        <f t="shared" si="5"/>
        <v>1</v>
      </c>
      <c r="O60">
        <f t="shared" si="6"/>
        <v>0</v>
      </c>
      <c r="P60">
        <f t="shared" si="7"/>
        <v>0</v>
      </c>
      <c r="Q60">
        <f t="shared" si="8"/>
        <v>0</v>
      </c>
      <c r="R60">
        <v>3.0153707349637866E-2</v>
      </c>
      <c r="S60">
        <v>3.6585770542362187E-2</v>
      </c>
      <c r="T60">
        <f t="shared" si="9"/>
        <v>1</v>
      </c>
      <c r="U60">
        <f t="shared" si="10"/>
        <v>0</v>
      </c>
      <c r="V60">
        <f t="shared" si="11"/>
        <v>0</v>
      </c>
      <c r="W60" s="9">
        <f t="shared" si="12"/>
        <v>1</v>
      </c>
    </row>
    <row r="61" spans="1:23" x14ac:dyDescent="0.35">
      <c r="A61" s="1" t="s">
        <v>60</v>
      </c>
      <c r="B61">
        <v>1174743.5528571431</v>
      </c>
      <c r="C61">
        <v>37033.797142857147</v>
      </c>
      <c r="D61">
        <f t="shared" si="0"/>
        <v>1</v>
      </c>
      <c r="E61">
        <f t="shared" si="1"/>
        <v>1</v>
      </c>
      <c r="F61">
        <f t="shared" si="2"/>
        <v>0</v>
      </c>
      <c r="G61">
        <f t="shared" si="3"/>
        <v>0</v>
      </c>
      <c r="H61">
        <v>33405.75</v>
      </c>
      <c r="I61">
        <v>762.2913323556628</v>
      </c>
      <c r="J61">
        <f t="shared" si="4"/>
        <v>1</v>
      </c>
      <c r="L61">
        <v>6680.7909982467681</v>
      </c>
      <c r="M61">
        <v>185754.76535743641</v>
      </c>
      <c r="N61">
        <f t="shared" si="5"/>
        <v>1</v>
      </c>
      <c r="O61">
        <f t="shared" si="6"/>
        <v>0</v>
      </c>
      <c r="P61">
        <f t="shared" si="7"/>
        <v>0</v>
      </c>
      <c r="Q61">
        <f t="shared" si="8"/>
        <v>0</v>
      </c>
      <c r="R61">
        <v>0.17110123124788529</v>
      </c>
      <c r="S61">
        <v>1.9128424225832975E-2</v>
      </c>
      <c r="T61">
        <f t="shared" si="9"/>
        <v>0</v>
      </c>
      <c r="U61">
        <f t="shared" si="10"/>
        <v>0</v>
      </c>
      <c r="V61">
        <f t="shared" si="11"/>
        <v>0</v>
      </c>
      <c r="W61" s="9">
        <f t="shared" si="12"/>
        <v>1</v>
      </c>
    </row>
    <row r="62" spans="1:23" x14ac:dyDescent="0.35">
      <c r="A62" s="1" t="s">
        <v>61</v>
      </c>
      <c r="B62">
        <v>1677002.066831683</v>
      </c>
      <c r="C62">
        <v>1691739.798267327</v>
      </c>
      <c r="D62">
        <f t="shared" si="0"/>
        <v>0</v>
      </c>
      <c r="E62">
        <f t="shared" si="1"/>
        <v>0</v>
      </c>
      <c r="F62">
        <f t="shared" si="2"/>
        <v>0</v>
      </c>
      <c r="G62">
        <f t="shared" si="3"/>
        <v>1</v>
      </c>
      <c r="H62">
        <v>336902.40574229008</v>
      </c>
      <c r="I62">
        <v>357544.10540417011</v>
      </c>
      <c r="J62">
        <f t="shared" si="4"/>
        <v>0</v>
      </c>
      <c r="L62">
        <v>363202.15901609388</v>
      </c>
      <c r="M62">
        <v>401028.53001970658</v>
      </c>
      <c r="N62">
        <f t="shared" si="5"/>
        <v>1</v>
      </c>
      <c r="O62">
        <f t="shared" si="6"/>
        <v>1</v>
      </c>
      <c r="P62">
        <f t="shared" si="7"/>
        <v>0</v>
      </c>
      <c r="Q62">
        <f t="shared" si="8"/>
        <v>0</v>
      </c>
      <c r="R62">
        <v>1.3416036878010566E-2</v>
      </c>
      <c r="S62">
        <v>1.8151687936466685E-2</v>
      </c>
      <c r="T62">
        <f t="shared" si="9"/>
        <v>1</v>
      </c>
      <c r="U62">
        <f t="shared" si="10"/>
        <v>0</v>
      </c>
      <c r="V62">
        <f t="shared" si="11"/>
        <v>0</v>
      </c>
      <c r="W62" s="9">
        <f t="shared" si="12"/>
        <v>1</v>
      </c>
    </row>
    <row r="63" spans="1:23" x14ac:dyDescent="0.35">
      <c r="A63" s="1" t="s">
        <v>62</v>
      </c>
      <c r="B63">
        <v>1120830.249056604</v>
      </c>
      <c r="C63">
        <v>846674.40188679239</v>
      </c>
      <c r="D63">
        <f t="shared" si="0"/>
        <v>1</v>
      </c>
      <c r="E63">
        <f t="shared" si="1"/>
        <v>0</v>
      </c>
      <c r="F63">
        <f t="shared" si="2"/>
        <v>0</v>
      </c>
      <c r="G63">
        <f t="shared" si="3"/>
        <v>1</v>
      </c>
      <c r="H63">
        <v>532532.05744395033</v>
      </c>
      <c r="I63">
        <v>206353.72063504931</v>
      </c>
      <c r="J63">
        <f t="shared" si="4"/>
        <v>1</v>
      </c>
      <c r="L63">
        <v>406191.56657717278</v>
      </c>
      <c r="M63">
        <v>283172.58231472998</v>
      </c>
      <c r="N63">
        <f t="shared" si="5"/>
        <v>0</v>
      </c>
      <c r="O63">
        <f t="shared" si="6"/>
        <v>0</v>
      </c>
      <c r="P63">
        <f t="shared" si="7"/>
        <v>0</v>
      </c>
      <c r="Q63">
        <f t="shared" si="8"/>
        <v>1</v>
      </c>
      <c r="R63">
        <v>5.4242142779362184E-3</v>
      </c>
      <c r="S63">
        <v>1.2682746834864546E-2</v>
      </c>
      <c r="T63">
        <f t="shared" si="9"/>
        <v>1</v>
      </c>
      <c r="U63">
        <f t="shared" si="10"/>
        <v>1</v>
      </c>
      <c r="V63">
        <f t="shared" si="11"/>
        <v>0</v>
      </c>
      <c r="W63" s="9">
        <f t="shared" si="12"/>
        <v>1</v>
      </c>
    </row>
    <row r="64" spans="1:23" x14ac:dyDescent="0.35">
      <c r="A64" s="1" t="s">
        <v>63</v>
      </c>
      <c r="B64">
        <v>1124365.486784141</v>
      </c>
      <c r="C64">
        <v>1494625.7742290751</v>
      </c>
      <c r="D64">
        <f t="shared" si="0"/>
        <v>0</v>
      </c>
      <c r="E64">
        <f t="shared" si="1"/>
        <v>0</v>
      </c>
      <c r="F64">
        <f t="shared" si="2"/>
        <v>0</v>
      </c>
      <c r="G64">
        <f t="shared" si="3"/>
        <v>1</v>
      </c>
      <c r="H64">
        <v>335463.31943223509</v>
      </c>
      <c r="I64">
        <v>400238.26831896382</v>
      </c>
      <c r="J64">
        <f t="shared" si="4"/>
        <v>0</v>
      </c>
      <c r="L64">
        <v>524304.17760329484</v>
      </c>
      <c r="M64">
        <v>266920.13260257721</v>
      </c>
      <c r="N64">
        <f t="shared" si="5"/>
        <v>0</v>
      </c>
      <c r="O64">
        <f t="shared" si="6"/>
        <v>0</v>
      </c>
      <c r="P64">
        <f t="shared" si="7"/>
        <v>1</v>
      </c>
      <c r="Q64">
        <f t="shared" si="8"/>
        <v>0</v>
      </c>
      <c r="R64">
        <v>2.5707948587097001E-2</v>
      </c>
      <c r="S64">
        <v>8.1318558756377935E-3</v>
      </c>
      <c r="T64">
        <f t="shared" si="9"/>
        <v>0</v>
      </c>
      <c r="U64">
        <f t="shared" si="10"/>
        <v>0</v>
      </c>
      <c r="V64">
        <f t="shared" si="11"/>
        <v>0</v>
      </c>
      <c r="W64" s="9">
        <f t="shared" si="12"/>
        <v>0</v>
      </c>
    </row>
    <row r="65" spans="1:23" x14ac:dyDescent="0.35">
      <c r="A65" s="1" t="s">
        <v>64</v>
      </c>
      <c r="B65">
        <v>1403649.2331288341</v>
      </c>
      <c r="C65">
        <v>24726.838957055221</v>
      </c>
      <c r="D65">
        <f t="shared" si="0"/>
        <v>1</v>
      </c>
      <c r="E65">
        <f t="shared" si="1"/>
        <v>1</v>
      </c>
      <c r="F65">
        <f t="shared" si="2"/>
        <v>0</v>
      </c>
      <c r="G65">
        <f t="shared" si="3"/>
        <v>0</v>
      </c>
      <c r="H65">
        <v>481511.29620427883</v>
      </c>
      <c r="I65">
        <v>5808.2272891128232</v>
      </c>
      <c r="J65">
        <f t="shared" si="4"/>
        <v>1</v>
      </c>
      <c r="L65">
        <v>6931.3663319530706</v>
      </c>
      <c r="M65">
        <v>248990.99924772029</v>
      </c>
      <c r="N65">
        <f t="shared" si="5"/>
        <v>1</v>
      </c>
      <c r="O65">
        <f t="shared" si="6"/>
        <v>0</v>
      </c>
      <c r="P65">
        <f t="shared" si="7"/>
        <v>0</v>
      </c>
      <c r="Q65">
        <f t="shared" si="8"/>
        <v>0</v>
      </c>
      <c r="R65">
        <v>2.2415154209899864E-2</v>
      </c>
      <c r="S65">
        <v>2.7847522862995293E-2</v>
      </c>
      <c r="T65">
        <f t="shared" si="9"/>
        <v>1</v>
      </c>
      <c r="U65">
        <f t="shared" si="10"/>
        <v>0</v>
      </c>
      <c r="V65">
        <f t="shared" si="11"/>
        <v>0</v>
      </c>
      <c r="W65" s="9">
        <f t="shared" si="12"/>
        <v>1</v>
      </c>
    </row>
    <row r="66" spans="1:23" x14ac:dyDescent="0.35">
      <c r="A66" s="1" t="s">
        <v>65</v>
      </c>
      <c r="B66">
        <v>953487.73960216995</v>
      </c>
      <c r="C66">
        <v>1235248.620253165</v>
      </c>
      <c r="D66">
        <f t="shared" si="0"/>
        <v>0</v>
      </c>
      <c r="E66">
        <f t="shared" si="1"/>
        <v>0</v>
      </c>
      <c r="F66">
        <f t="shared" si="2"/>
        <v>0</v>
      </c>
      <c r="G66">
        <f t="shared" si="3"/>
        <v>1</v>
      </c>
      <c r="H66">
        <v>449691.29546714522</v>
      </c>
      <c r="I66">
        <v>282625.35189336189</v>
      </c>
      <c r="J66">
        <f t="shared" si="4"/>
        <v>1</v>
      </c>
      <c r="L66">
        <v>538647.06643350422</v>
      </c>
      <c r="M66">
        <v>283638.62348028301</v>
      </c>
      <c r="N66">
        <f t="shared" si="5"/>
        <v>0</v>
      </c>
      <c r="O66">
        <f t="shared" si="6"/>
        <v>0</v>
      </c>
      <c r="P66">
        <f t="shared" si="7"/>
        <v>1</v>
      </c>
      <c r="Q66">
        <f t="shared" si="8"/>
        <v>0</v>
      </c>
      <c r="R66">
        <v>1.8855149265616913E-3</v>
      </c>
      <c r="S66">
        <v>1.6495570721750297E-3</v>
      </c>
      <c r="T66">
        <f t="shared" si="9"/>
        <v>0</v>
      </c>
      <c r="U66">
        <f t="shared" si="10"/>
        <v>0</v>
      </c>
      <c r="V66">
        <f t="shared" si="11"/>
        <v>0</v>
      </c>
      <c r="W66" s="9">
        <f t="shared" si="12"/>
        <v>0</v>
      </c>
    </row>
    <row r="67" spans="1:23" x14ac:dyDescent="0.35">
      <c r="A67" s="1" t="s">
        <v>66</v>
      </c>
      <c r="B67">
        <v>1180617.5509433961</v>
      </c>
      <c r="C67">
        <v>809257.71698113205</v>
      </c>
      <c r="D67">
        <f t="shared" si="0"/>
        <v>1</v>
      </c>
      <c r="E67">
        <f t="shared" si="1"/>
        <v>0</v>
      </c>
      <c r="F67">
        <f t="shared" si="2"/>
        <v>0</v>
      </c>
      <c r="G67">
        <f t="shared" si="3"/>
        <v>1</v>
      </c>
      <c r="H67">
        <v>428642.37655956257</v>
      </c>
      <c r="I67">
        <v>183401.0246003315</v>
      </c>
      <c r="J67">
        <f t="shared" si="4"/>
        <v>1</v>
      </c>
      <c r="L67">
        <v>302565.82707572379</v>
      </c>
      <c r="M67">
        <v>274821.43310386938</v>
      </c>
      <c r="N67">
        <f t="shared" si="5"/>
        <v>0</v>
      </c>
      <c r="O67">
        <f t="shared" si="6"/>
        <v>0</v>
      </c>
      <c r="P67">
        <f t="shared" si="7"/>
        <v>0</v>
      </c>
      <c r="Q67">
        <f t="shared" si="8"/>
        <v>1</v>
      </c>
      <c r="R67">
        <v>5.1580449735463205E-2</v>
      </c>
      <c r="S67">
        <v>8.3032325541795973E-2</v>
      </c>
      <c r="T67">
        <f t="shared" si="9"/>
        <v>1</v>
      </c>
      <c r="U67">
        <f t="shared" si="10"/>
        <v>1</v>
      </c>
      <c r="V67">
        <f t="shared" si="11"/>
        <v>0</v>
      </c>
      <c r="W67" s="9">
        <f t="shared" si="12"/>
        <v>1</v>
      </c>
    </row>
    <row r="68" spans="1:23" x14ac:dyDescent="0.35">
      <c r="A68" s="1" t="s">
        <v>67</v>
      </c>
      <c r="B68">
        <v>1267875.4389473679</v>
      </c>
      <c r="C68">
        <v>4929.5431578947373</v>
      </c>
      <c r="D68">
        <f t="shared" ref="D68:D102" si="13">IF(C68&lt;B68, 1,0)</f>
        <v>1</v>
      </c>
      <c r="E68">
        <f t="shared" ref="E68:E102" si="14">IF(AND(C68&lt;B68,(B68-C68)&gt;(C68*2)),1,0)</f>
        <v>1</v>
      </c>
      <c r="F68">
        <f t="shared" ref="F68:F102" si="15">IF(AND(B68&lt;C68,(C68-B68)&gt;(B68*2)),1,0)</f>
        <v>0</v>
      </c>
      <c r="G68">
        <f t="shared" ref="G68:G102" si="16">IF(E68+F68=0,1,0)</f>
        <v>0</v>
      </c>
      <c r="H68">
        <v>609860.74244931806</v>
      </c>
      <c r="I68">
        <v>1233.866019338539</v>
      </c>
      <c r="J68">
        <f t="shared" ref="J68:J102" si="17">IF(I68&lt;H68,1,0)</f>
        <v>1</v>
      </c>
      <c r="L68">
        <v>447.71428571428572</v>
      </c>
      <c r="M68">
        <v>16624.01211826846</v>
      </c>
      <c r="N68">
        <f t="shared" ref="N68:N102" si="18">IF(M68&gt;L68,1,0)</f>
        <v>1</v>
      </c>
      <c r="O68">
        <f t="shared" ref="O68:O102" si="19">IF(AND(G68=1,ABS(H68-M68)&gt;1.5*ABS(L68-I68)),1,0)</f>
        <v>0</v>
      </c>
      <c r="P68">
        <f t="shared" ref="P68:P102" si="20">IF(AND(G68=1, 1.5*ABS(H68-M68)&lt;ABS(L68-I68)),1,0)</f>
        <v>0</v>
      </c>
      <c r="Q68">
        <f t="shared" ref="Q68:Q102" si="21">IF(AND(G68=1, O68+P68=0),1,0)</f>
        <v>0</v>
      </c>
      <c r="R68">
        <v>1.6094836251394943E-3</v>
      </c>
      <c r="S68">
        <v>1.8441514761933335E-2</v>
      </c>
      <c r="T68">
        <f t="shared" ref="T68:T102" si="22">IF(R68&lt;S68,1,0)</f>
        <v>1</v>
      </c>
      <c r="U68">
        <f t="shared" ref="U68:U102" si="23">IF(AND(Q68=1, R68&lt;S68),1,0)</f>
        <v>0</v>
      </c>
      <c r="V68">
        <f t="shared" ref="V68:V102" si="24">IF(AND(Q68=1, R68&gt;S68),1,0)</f>
        <v>0</v>
      </c>
      <c r="W68" s="9">
        <f t="shared" ref="W68:W102" si="25">IF(E68+O68+U68=1,1,0)</f>
        <v>1</v>
      </c>
    </row>
    <row r="69" spans="1:23" x14ac:dyDescent="0.35">
      <c r="A69" s="1" t="s">
        <v>68</v>
      </c>
      <c r="B69">
        <v>218392.04724409449</v>
      </c>
      <c r="C69">
        <v>1019900.4913385829</v>
      </c>
      <c r="D69">
        <f t="shared" si="13"/>
        <v>0</v>
      </c>
      <c r="E69">
        <f t="shared" si="14"/>
        <v>0</v>
      </c>
      <c r="F69">
        <f t="shared" si="15"/>
        <v>1</v>
      </c>
      <c r="G69">
        <f t="shared" si="16"/>
        <v>0</v>
      </c>
      <c r="H69">
        <v>119405.0493379847</v>
      </c>
      <c r="I69">
        <v>266029.44920324272</v>
      </c>
      <c r="J69">
        <f t="shared" si="17"/>
        <v>0</v>
      </c>
      <c r="L69">
        <v>364619.64250225842</v>
      </c>
      <c r="M69">
        <v>42779.71140901107</v>
      </c>
      <c r="N69">
        <f t="shared" si="18"/>
        <v>0</v>
      </c>
      <c r="O69">
        <f t="shared" si="19"/>
        <v>0</v>
      </c>
      <c r="P69">
        <f t="shared" si="20"/>
        <v>0</v>
      </c>
      <c r="Q69">
        <f t="shared" si="21"/>
        <v>0</v>
      </c>
      <c r="R69">
        <v>1.6103817396659861E-2</v>
      </c>
      <c r="S69">
        <v>1.886432493463049E-3</v>
      </c>
      <c r="T69">
        <f t="shared" si="22"/>
        <v>0</v>
      </c>
      <c r="U69">
        <f t="shared" si="23"/>
        <v>0</v>
      </c>
      <c r="V69">
        <f t="shared" si="24"/>
        <v>0</v>
      </c>
      <c r="W69" s="9">
        <f t="shared" si="25"/>
        <v>0</v>
      </c>
    </row>
    <row r="70" spans="1:23" x14ac:dyDescent="0.35">
      <c r="A70" s="1" t="s">
        <v>69</v>
      </c>
      <c r="B70">
        <v>1357790.517067004</v>
      </c>
      <c r="C70">
        <v>94011.941845764857</v>
      </c>
      <c r="D70">
        <f t="shared" si="13"/>
        <v>1</v>
      </c>
      <c r="E70">
        <f t="shared" si="14"/>
        <v>1</v>
      </c>
      <c r="F70">
        <f t="shared" si="15"/>
        <v>0</v>
      </c>
      <c r="G70">
        <f t="shared" si="16"/>
        <v>0</v>
      </c>
      <c r="H70">
        <v>474610.26777365489</v>
      </c>
      <c r="I70">
        <v>26248.617847798188</v>
      </c>
      <c r="J70">
        <f t="shared" si="17"/>
        <v>1</v>
      </c>
      <c r="L70">
        <v>27631.46348494745</v>
      </c>
      <c r="M70">
        <v>285560.16374689731</v>
      </c>
      <c r="N70">
        <f t="shared" si="18"/>
        <v>1</v>
      </c>
      <c r="O70">
        <f t="shared" si="19"/>
        <v>0</v>
      </c>
      <c r="P70">
        <f t="shared" si="20"/>
        <v>0</v>
      </c>
      <c r="Q70">
        <f t="shared" si="21"/>
        <v>0</v>
      </c>
      <c r="R70">
        <v>2.5817803958278294E-2</v>
      </c>
      <c r="S70">
        <v>4.8963011735975913E-2</v>
      </c>
      <c r="T70">
        <f t="shared" si="22"/>
        <v>1</v>
      </c>
      <c r="U70">
        <f t="shared" si="23"/>
        <v>0</v>
      </c>
      <c r="V70">
        <f t="shared" si="24"/>
        <v>0</v>
      </c>
      <c r="W70" s="9">
        <f t="shared" si="25"/>
        <v>1</v>
      </c>
    </row>
    <row r="71" spans="1:23" x14ac:dyDescent="0.35">
      <c r="A71" s="1" t="s">
        <v>70</v>
      </c>
      <c r="B71">
        <v>706695.77554179565</v>
      </c>
      <c r="C71">
        <v>743741.4628482972</v>
      </c>
      <c r="D71">
        <f t="shared" si="13"/>
        <v>0</v>
      </c>
      <c r="E71">
        <f t="shared" si="14"/>
        <v>0</v>
      </c>
      <c r="F71">
        <f t="shared" si="15"/>
        <v>0</v>
      </c>
      <c r="G71">
        <f t="shared" si="16"/>
        <v>1</v>
      </c>
      <c r="H71">
        <v>345946.6876020229</v>
      </c>
      <c r="I71">
        <v>183275.23213577701</v>
      </c>
      <c r="J71">
        <f t="shared" si="17"/>
        <v>1</v>
      </c>
      <c r="L71">
        <v>357666.59491904941</v>
      </c>
      <c r="M71">
        <v>191980.8311423306</v>
      </c>
      <c r="N71">
        <f t="shared" si="18"/>
        <v>0</v>
      </c>
      <c r="O71">
        <f t="shared" si="19"/>
        <v>0</v>
      </c>
      <c r="P71">
        <f t="shared" si="20"/>
        <v>0</v>
      </c>
      <c r="Q71">
        <f t="shared" si="21"/>
        <v>1</v>
      </c>
      <c r="R71">
        <v>4.8987030965034206E-3</v>
      </c>
      <c r="S71">
        <v>1.1006494650882144E-2</v>
      </c>
      <c r="T71">
        <f t="shared" si="22"/>
        <v>1</v>
      </c>
      <c r="U71">
        <f t="shared" si="23"/>
        <v>1</v>
      </c>
      <c r="V71">
        <f t="shared" si="24"/>
        <v>0</v>
      </c>
      <c r="W71" s="9">
        <f t="shared" si="25"/>
        <v>1</v>
      </c>
    </row>
    <row r="72" spans="1:23" x14ac:dyDescent="0.35">
      <c r="A72" s="1" t="s">
        <v>71</v>
      </c>
      <c r="B72">
        <v>1020001.267686425</v>
      </c>
      <c r="C72">
        <v>34078.791586998093</v>
      </c>
      <c r="D72">
        <f t="shared" si="13"/>
        <v>1</v>
      </c>
      <c r="E72">
        <f t="shared" si="14"/>
        <v>1</v>
      </c>
      <c r="F72">
        <f t="shared" si="15"/>
        <v>0</v>
      </c>
      <c r="G72">
        <f t="shared" si="16"/>
        <v>0</v>
      </c>
      <c r="H72">
        <v>353858.15422955039</v>
      </c>
      <c r="I72">
        <v>8079.2922297064151</v>
      </c>
      <c r="J72">
        <f t="shared" si="17"/>
        <v>1</v>
      </c>
      <c r="L72">
        <v>11647.8862217018</v>
      </c>
      <c r="M72">
        <v>259633.75326857291</v>
      </c>
      <c r="N72">
        <f t="shared" si="18"/>
        <v>1</v>
      </c>
      <c r="O72">
        <f t="shared" si="19"/>
        <v>0</v>
      </c>
      <c r="P72">
        <f t="shared" si="20"/>
        <v>0</v>
      </c>
      <c r="Q72">
        <f t="shared" si="21"/>
        <v>0</v>
      </c>
      <c r="R72">
        <v>2.8042666821559582E-2</v>
      </c>
      <c r="S72">
        <v>3.4985824638769598E-2</v>
      </c>
      <c r="T72">
        <f t="shared" si="22"/>
        <v>1</v>
      </c>
      <c r="U72">
        <f t="shared" si="23"/>
        <v>0</v>
      </c>
      <c r="V72">
        <f t="shared" si="24"/>
        <v>0</v>
      </c>
      <c r="W72" s="9">
        <f t="shared" si="25"/>
        <v>1</v>
      </c>
    </row>
    <row r="73" spans="1:23" x14ac:dyDescent="0.35">
      <c r="A73" s="1" t="s">
        <v>72</v>
      </c>
      <c r="B73">
        <v>1436258.786106033</v>
      </c>
      <c r="C73">
        <v>915266.64899451553</v>
      </c>
      <c r="D73">
        <f t="shared" si="13"/>
        <v>1</v>
      </c>
      <c r="E73">
        <f t="shared" si="14"/>
        <v>0</v>
      </c>
      <c r="F73">
        <f t="shared" si="15"/>
        <v>0</v>
      </c>
      <c r="G73">
        <f t="shared" si="16"/>
        <v>1</v>
      </c>
      <c r="H73">
        <v>353650.17103572388</v>
      </c>
      <c r="I73">
        <v>219994.06386948429</v>
      </c>
      <c r="J73">
        <f t="shared" si="17"/>
        <v>1</v>
      </c>
      <c r="L73">
        <v>245878.20786775649</v>
      </c>
      <c r="M73">
        <v>366764.12859202229</v>
      </c>
      <c r="N73">
        <f t="shared" si="18"/>
        <v>1</v>
      </c>
      <c r="O73">
        <f t="shared" si="19"/>
        <v>0</v>
      </c>
      <c r="P73">
        <f t="shared" si="20"/>
        <v>1</v>
      </c>
      <c r="Q73">
        <f t="shared" si="21"/>
        <v>0</v>
      </c>
      <c r="R73">
        <v>2.0910812371185594E-2</v>
      </c>
      <c r="S73">
        <v>2.8099836851033573E-2</v>
      </c>
      <c r="T73">
        <f t="shared" si="22"/>
        <v>1</v>
      </c>
      <c r="U73">
        <f t="shared" si="23"/>
        <v>0</v>
      </c>
      <c r="V73">
        <f t="shared" si="24"/>
        <v>0</v>
      </c>
      <c r="W73" s="9">
        <f t="shared" si="25"/>
        <v>0</v>
      </c>
    </row>
    <row r="74" spans="1:23" x14ac:dyDescent="0.35">
      <c r="A74" s="1" t="s">
        <v>73</v>
      </c>
      <c r="B74">
        <v>848257.35416666663</v>
      </c>
      <c r="C74">
        <v>29038.008928571431</v>
      </c>
      <c r="D74">
        <f t="shared" si="13"/>
        <v>1</v>
      </c>
      <c r="E74">
        <f t="shared" si="14"/>
        <v>1</v>
      </c>
      <c r="F74">
        <f t="shared" si="15"/>
        <v>0</v>
      </c>
      <c r="G74">
        <f t="shared" si="16"/>
        <v>0</v>
      </c>
      <c r="H74">
        <v>326070.35023160413</v>
      </c>
      <c r="I74">
        <v>6680.693660068906</v>
      </c>
      <c r="J74">
        <f t="shared" si="17"/>
        <v>1</v>
      </c>
      <c r="L74">
        <v>8223.0588528669214</v>
      </c>
      <c r="M74">
        <v>146032.35727938049</v>
      </c>
      <c r="N74">
        <f t="shared" si="18"/>
        <v>1</v>
      </c>
      <c r="O74">
        <f t="shared" si="19"/>
        <v>0</v>
      </c>
      <c r="P74">
        <f t="shared" si="20"/>
        <v>0</v>
      </c>
      <c r="Q74">
        <f t="shared" si="21"/>
        <v>0</v>
      </c>
      <c r="R74">
        <v>7.6013473174811733E-2</v>
      </c>
      <c r="S74">
        <v>2.1899229480464452E-2</v>
      </c>
      <c r="T74">
        <f t="shared" si="22"/>
        <v>0</v>
      </c>
      <c r="U74">
        <f t="shared" si="23"/>
        <v>0</v>
      </c>
      <c r="V74">
        <f t="shared" si="24"/>
        <v>0</v>
      </c>
      <c r="W74" s="9">
        <f t="shared" si="25"/>
        <v>1</v>
      </c>
    </row>
    <row r="75" spans="1:23" x14ac:dyDescent="0.35">
      <c r="A75" s="1" t="s">
        <v>74</v>
      </c>
      <c r="B75">
        <v>1644977.25959368</v>
      </c>
      <c r="C75">
        <v>89231.352144469522</v>
      </c>
      <c r="D75">
        <f t="shared" si="13"/>
        <v>1</v>
      </c>
      <c r="E75">
        <f t="shared" si="14"/>
        <v>1</v>
      </c>
      <c r="F75">
        <f t="shared" si="15"/>
        <v>0</v>
      </c>
      <c r="G75">
        <f t="shared" si="16"/>
        <v>0</v>
      </c>
      <c r="H75">
        <v>342979.38550845563</v>
      </c>
      <c r="I75">
        <v>19047.37619109256</v>
      </c>
      <c r="J75">
        <f t="shared" si="17"/>
        <v>1</v>
      </c>
      <c r="L75">
        <v>16282.57657765821</v>
      </c>
      <c r="M75">
        <v>338835.11455845472</v>
      </c>
      <c r="N75">
        <f t="shared" si="18"/>
        <v>1</v>
      </c>
      <c r="O75">
        <f t="shared" si="19"/>
        <v>0</v>
      </c>
      <c r="P75">
        <f t="shared" si="20"/>
        <v>0</v>
      </c>
      <c r="Q75">
        <f t="shared" si="21"/>
        <v>0</v>
      </c>
      <c r="R75">
        <v>1.4862536264126654E-2</v>
      </c>
      <c r="S75">
        <v>1.1602771469254314E-2</v>
      </c>
      <c r="T75">
        <f t="shared" si="22"/>
        <v>0</v>
      </c>
      <c r="U75">
        <f t="shared" si="23"/>
        <v>0</v>
      </c>
      <c r="V75">
        <f t="shared" si="24"/>
        <v>0</v>
      </c>
      <c r="W75" s="9">
        <f t="shared" si="25"/>
        <v>1</v>
      </c>
    </row>
    <row r="76" spans="1:23" x14ac:dyDescent="0.35">
      <c r="A76" s="1" t="s">
        <v>75</v>
      </c>
      <c r="B76">
        <v>744709.83631361765</v>
      </c>
      <c r="C76">
        <v>1116149.152682256</v>
      </c>
      <c r="D76">
        <f t="shared" si="13"/>
        <v>0</v>
      </c>
      <c r="E76">
        <f t="shared" si="14"/>
        <v>0</v>
      </c>
      <c r="F76">
        <f t="shared" si="15"/>
        <v>0</v>
      </c>
      <c r="G76">
        <f t="shared" si="16"/>
        <v>1</v>
      </c>
      <c r="H76">
        <v>186692.5291746032</v>
      </c>
      <c r="I76">
        <v>298934.18800542841</v>
      </c>
      <c r="J76">
        <f t="shared" si="17"/>
        <v>0</v>
      </c>
      <c r="L76">
        <v>295729.6708873437</v>
      </c>
      <c r="M76">
        <v>190701.85966977329</v>
      </c>
      <c r="N76">
        <f t="shared" si="18"/>
        <v>0</v>
      </c>
      <c r="O76">
        <f t="shared" si="19"/>
        <v>0</v>
      </c>
      <c r="P76">
        <f t="shared" si="20"/>
        <v>0</v>
      </c>
      <c r="Q76">
        <f t="shared" si="21"/>
        <v>1</v>
      </c>
      <c r="R76">
        <v>1.3934183296914242E-2</v>
      </c>
      <c r="S76">
        <v>3.0009626803163235E-2</v>
      </c>
      <c r="T76">
        <f t="shared" si="22"/>
        <v>1</v>
      </c>
      <c r="U76">
        <f t="shared" si="23"/>
        <v>1</v>
      </c>
      <c r="V76">
        <f t="shared" si="24"/>
        <v>0</v>
      </c>
      <c r="W76" s="9">
        <f t="shared" si="25"/>
        <v>1</v>
      </c>
    </row>
    <row r="77" spans="1:23" x14ac:dyDescent="0.35">
      <c r="A77" s="1" t="s">
        <v>76</v>
      </c>
      <c r="B77">
        <v>922113.85471698106</v>
      </c>
      <c r="C77">
        <v>1068808.5943396231</v>
      </c>
      <c r="D77">
        <f t="shared" si="13"/>
        <v>0</v>
      </c>
      <c r="E77">
        <f t="shared" si="14"/>
        <v>0</v>
      </c>
      <c r="F77">
        <f t="shared" si="15"/>
        <v>0</v>
      </c>
      <c r="G77">
        <f t="shared" si="16"/>
        <v>1</v>
      </c>
      <c r="H77">
        <v>459589.96511179052</v>
      </c>
      <c r="I77">
        <v>271554.50503179658</v>
      </c>
      <c r="J77">
        <f t="shared" si="17"/>
        <v>1</v>
      </c>
      <c r="L77">
        <v>499680.77825808089</v>
      </c>
      <c r="M77">
        <v>269692.68277647957</v>
      </c>
      <c r="N77">
        <f t="shared" si="18"/>
        <v>0</v>
      </c>
      <c r="O77">
        <f t="shared" si="19"/>
        <v>0</v>
      </c>
      <c r="P77">
        <f t="shared" si="20"/>
        <v>0</v>
      </c>
      <c r="Q77">
        <f t="shared" si="21"/>
        <v>1</v>
      </c>
      <c r="R77">
        <v>4.6099134025870398E-4</v>
      </c>
      <c r="S77">
        <v>8.8407551079788191E-3</v>
      </c>
      <c r="T77">
        <f t="shared" si="22"/>
        <v>1</v>
      </c>
      <c r="U77">
        <f t="shared" si="23"/>
        <v>1</v>
      </c>
      <c r="V77">
        <f t="shared" si="24"/>
        <v>0</v>
      </c>
      <c r="W77" s="9">
        <f t="shared" si="25"/>
        <v>1</v>
      </c>
    </row>
    <row r="78" spans="1:23" x14ac:dyDescent="0.35">
      <c r="A78" s="1" t="s">
        <v>77</v>
      </c>
      <c r="B78">
        <v>473094.40028490027</v>
      </c>
      <c r="C78">
        <v>1152.049857549858</v>
      </c>
      <c r="D78">
        <f t="shared" si="13"/>
        <v>1</v>
      </c>
      <c r="E78">
        <f t="shared" si="14"/>
        <v>1</v>
      </c>
      <c r="F78">
        <f t="shared" si="15"/>
        <v>0</v>
      </c>
      <c r="G78">
        <f t="shared" si="16"/>
        <v>0</v>
      </c>
      <c r="H78">
        <v>184896.1663365546</v>
      </c>
      <c r="I78">
        <v>344.47914778108191</v>
      </c>
      <c r="J78">
        <f t="shared" si="17"/>
        <v>1</v>
      </c>
      <c r="L78">
        <v>24.54117647058823</v>
      </c>
      <c r="M78">
        <v>8331.7817840668322</v>
      </c>
      <c r="N78">
        <f t="shared" si="18"/>
        <v>1</v>
      </c>
      <c r="O78">
        <f t="shared" si="19"/>
        <v>0</v>
      </c>
      <c r="P78">
        <f t="shared" si="20"/>
        <v>0</v>
      </c>
      <c r="Q78">
        <f t="shared" si="21"/>
        <v>0</v>
      </c>
      <c r="R78">
        <v>1.97259445643501E-2</v>
      </c>
      <c r="S78">
        <v>0.30703850059345084</v>
      </c>
      <c r="T78">
        <f t="shared" si="22"/>
        <v>1</v>
      </c>
      <c r="U78">
        <f t="shared" si="23"/>
        <v>0</v>
      </c>
      <c r="V78">
        <f t="shared" si="24"/>
        <v>0</v>
      </c>
      <c r="W78" s="9">
        <f t="shared" si="25"/>
        <v>1</v>
      </c>
    </row>
    <row r="79" spans="1:23" x14ac:dyDescent="0.35">
      <c r="A79" s="1" t="s">
        <v>78</v>
      </c>
      <c r="B79">
        <v>1694132.660418964</v>
      </c>
      <c r="C79">
        <v>1309082.2800441009</v>
      </c>
      <c r="D79">
        <f t="shared" si="13"/>
        <v>1</v>
      </c>
      <c r="E79">
        <f t="shared" si="14"/>
        <v>0</v>
      </c>
      <c r="F79">
        <f t="shared" si="15"/>
        <v>0</v>
      </c>
      <c r="G79">
        <f t="shared" si="16"/>
        <v>1</v>
      </c>
      <c r="H79">
        <v>697526.26077019772</v>
      </c>
      <c r="I79">
        <v>363683.89496083639</v>
      </c>
      <c r="J79">
        <f t="shared" si="17"/>
        <v>1</v>
      </c>
      <c r="L79">
        <v>580386.95591768017</v>
      </c>
      <c r="M79">
        <v>483834.05816699122</v>
      </c>
      <c r="N79">
        <f t="shared" si="18"/>
        <v>0</v>
      </c>
      <c r="O79">
        <f t="shared" si="19"/>
        <v>0</v>
      </c>
      <c r="P79">
        <f t="shared" si="20"/>
        <v>0</v>
      </c>
      <c r="Q79">
        <f t="shared" si="21"/>
        <v>1</v>
      </c>
      <c r="R79">
        <v>3.4129536286998184E-2</v>
      </c>
      <c r="S79">
        <v>4.0879023808966422E-2</v>
      </c>
      <c r="T79">
        <f t="shared" si="22"/>
        <v>1</v>
      </c>
      <c r="U79">
        <f t="shared" si="23"/>
        <v>1</v>
      </c>
      <c r="V79">
        <f t="shared" si="24"/>
        <v>0</v>
      </c>
      <c r="W79" s="9">
        <f t="shared" si="25"/>
        <v>1</v>
      </c>
    </row>
    <row r="80" spans="1:23" x14ac:dyDescent="0.35">
      <c r="A80" s="1" t="s">
        <v>79</v>
      </c>
      <c r="B80">
        <v>242874.37215189869</v>
      </c>
      <c r="C80">
        <v>911095.08227848099</v>
      </c>
      <c r="D80">
        <f t="shared" si="13"/>
        <v>0</v>
      </c>
      <c r="E80">
        <f t="shared" si="14"/>
        <v>0</v>
      </c>
      <c r="F80">
        <f t="shared" si="15"/>
        <v>1</v>
      </c>
      <c r="G80">
        <f t="shared" si="16"/>
        <v>0</v>
      </c>
      <c r="H80">
        <v>67988.494407182559</v>
      </c>
      <c r="I80">
        <v>236410.83494668861</v>
      </c>
      <c r="J80">
        <f t="shared" si="17"/>
        <v>0</v>
      </c>
      <c r="L80">
        <v>364500.83550171478</v>
      </c>
      <c r="M80">
        <v>132427.0596327011</v>
      </c>
      <c r="N80">
        <f t="shared" si="18"/>
        <v>0</v>
      </c>
      <c r="O80">
        <f t="shared" si="19"/>
        <v>0</v>
      </c>
      <c r="P80">
        <f t="shared" si="20"/>
        <v>0</v>
      </c>
      <c r="Q80">
        <f t="shared" si="21"/>
        <v>0</v>
      </c>
      <c r="R80">
        <v>3.3187861701660326E-2</v>
      </c>
      <c r="S80">
        <v>1.3585021656272742E-2</v>
      </c>
      <c r="T80">
        <f t="shared" si="22"/>
        <v>0</v>
      </c>
      <c r="U80">
        <f t="shared" si="23"/>
        <v>0</v>
      </c>
      <c r="V80">
        <f t="shared" si="24"/>
        <v>0</v>
      </c>
      <c r="W80" s="9">
        <f t="shared" si="25"/>
        <v>0</v>
      </c>
    </row>
    <row r="81" spans="1:23" x14ac:dyDescent="0.35">
      <c r="A81" s="1" t="s">
        <v>80</v>
      </c>
      <c r="B81">
        <v>1123069.693495038</v>
      </c>
      <c r="C81">
        <v>1371432.8765159871</v>
      </c>
      <c r="D81">
        <f t="shared" si="13"/>
        <v>0</v>
      </c>
      <c r="E81">
        <f t="shared" si="14"/>
        <v>0</v>
      </c>
      <c r="F81">
        <f t="shared" si="15"/>
        <v>0</v>
      </c>
      <c r="G81">
        <f t="shared" si="16"/>
        <v>1</v>
      </c>
      <c r="H81">
        <v>394569.26757164212</v>
      </c>
      <c r="I81">
        <v>391372.20179000462</v>
      </c>
      <c r="J81">
        <f t="shared" si="17"/>
        <v>1</v>
      </c>
      <c r="L81">
        <v>549807.07663411624</v>
      </c>
      <c r="M81">
        <v>324833.3785188428</v>
      </c>
      <c r="N81">
        <f t="shared" si="18"/>
        <v>0</v>
      </c>
      <c r="O81">
        <f t="shared" si="19"/>
        <v>0</v>
      </c>
      <c r="P81">
        <f t="shared" si="20"/>
        <v>1</v>
      </c>
      <c r="Q81">
        <f t="shared" si="21"/>
        <v>0</v>
      </c>
      <c r="R81">
        <v>1.3537929872212391E-2</v>
      </c>
      <c r="S81">
        <v>2.8461408001084983E-2</v>
      </c>
      <c r="T81">
        <f t="shared" si="22"/>
        <v>1</v>
      </c>
      <c r="U81">
        <f t="shared" si="23"/>
        <v>0</v>
      </c>
      <c r="V81">
        <f t="shared" si="24"/>
        <v>0</v>
      </c>
      <c r="W81" s="9">
        <f t="shared" si="25"/>
        <v>0</v>
      </c>
    </row>
    <row r="82" spans="1:23" x14ac:dyDescent="0.35">
      <c r="A82" s="1" t="s">
        <v>81</v>
      </c>
      <c r="B82">
        <v>1630829.194046306</v>
      </c>
      <c r="C82">
        <v>2097741.8820286659</v>
      </c>
      <c r="D82">
        <f t="shared" si="13"/>
        <v>0</v>
      </c>
      <c r="E82">
        <f t="shared" si="14"/>
        <v>0</v>
      </c>
      <c r="F82">
        <f t="shared" si="15"/>
        <v>0</v>
      </c>
      <c r="G82">
        <f t="shared" si="16"/>
        <v>1</v>
      </c>
      <c r="H82">
        <v>485776.33299555699</v>
      </c>
      <c r="I82">
        <v>549361.33727623126</v>
      </c>
      <c r="J82">
        <f t="shared" si="17"/>
        <v>0</v>
      </c>
      <c r="L82">
        <v>622723.10113931843</v>
      </c>
      <c r="M82">
        <v>393934.80084512167</v>
      </c>
      <c r="N82">
        <f t="shared" si="18"/>
        <v>0</v>
      </c>
      <c r="O82">
        <f t="shared" si="19"/>
        <v>0</v>
      </c>
      <c r="P82">
        <f t="shared" si="20"/>
        <v>0</v>
      </c>
      <c r="Q82">
        <f t="shared" si="21"/>
        <v>1</v>
      </c>
      <c r="R82">
        <v>1.7009084889736938E-2</v>
      </c>
      <c r="S82">
        <v>1.5513398208156415E-2</v>
      </c>
      <c r="T82">
        <f t="shared" si="22"/>
        <v>0</v>
      </c>
      <c r="U82">
        <f t="shared" si="23"/>
        <v>0</v>
      </c>
      <c r="V82">
        <f t="shared" si="24"/>
        <v>1</v>
      </c>
      <c r="W82" s="9">
        <f t="shared" si="25"/>
        <v>0</v>
      </c>
    </row>
    <row r="83" spans="1:23" x14ac:dyDescent="0.35">
      <c r="A83" s="1" t="s">
        <v>82</v>
      </c>
      <c r="B83">
        <v>1589117.712418301</v>
      </c>
      <c r="C83">
        <v>40483.241830065359</v>
      </c>
      <c r="D83">
        <f t="shared" si="13"/>
        <v>1</v>
      </c>
      <c r="E83">
        <f t="shared" si="14"/>
        <v>1</v>
      </c>
      <c r="F83">
        <f t="shared" si="15"/>
        <v>0</v>
      </c>
      <c r="G83">
        <f t="shared" si="16"/>
        <v>0</v>
      </c>
      <c r="H83">
        <v>614213.70348575502</v>
      </c>
      <c r="I83">
        <v>9959.9009519863866</v>
      </c>
      <c r="J83">
        <f t="shared" si="17"/>
        <v>1</v>
      </c>
      <c r="L83">
        <v>13710.49929086918</v>
      </c>
      <c r="M83">
        <v>438270.78741993773</v>
      </c>
      <c r="N83">
        <f t="shared" si="18"/>
        <v>1</v>
      </c>
      <c r="O83">
        <f t="shared" si="19"/>
        <v>0</v>
      </c>
      <c r="P83">
        <f t="shared" si="20"/>
        <v>0</v>
      </c>
      <c r="Q83">
        <f t="shared" si="21"/>
        <v>0</v>
      </c>
      <c r="R83">
        <v>6.025689979524824E-3</v>
      </c>
      <c r="S83">
        <v>1.1909997345814922E-2</v>
      </c>
      <c r="T83">
        <f t="shared" si="22"/>
        <v>1</v>
      </c>
      <c r="U83">
        <f t="shared" si="23"/>
        <v>0</v>
      </c>
      <c r="V83">
        <f t="shared" si="24"/>
        <v>0</v>
      </c>
      <c r="W83" s="9">
        <f t="shared" si="25"/>
        <v>1</v>
      </c>
    </row>
    <row r="84" spans="1:23" x14ac:dyDescent="0.35">
      <c r="A84" s="1" t="s">
        <v>83</v>
      </c>
      <c r="B84">
        <v>848392.40802675579</v>
      </c>
      <c r="C84">
        <v>1167747.466555184</v>
      </c>
      <c r="D84">
        <f t="shared" si="13"/>
        <v>0</v>
      </c>
      <c r="E84">
        <f t="shared" si="14"/>
        <v>0</v>
      </c>
      <c r="F84">
        <f t="shared" si="15"/>
        <v>0</v>
      </c>
      <c r="G84">
        <f t="shared" si="16"/>
        <v>1</v>
      </c>
      <c r="H84">
        <v>395801.26079029712</v>
      </c>
      <c r="I84">
        <v>311248.25604531122</v>
      </c>
      <c r="J84">
        <f t="shared" si="17"/>
        <v>1</v>
      </c>
      <c r="L84">
        <v>506545.2956872693</v>
      </c>
      <c r="M84">
        <v>232883.61431099451</v>
      </c>
      <c r="N84">
        <f t="shared" si="18"/>
        <v>0</v>
      </c>
      <c r="O84">
        <f t="shared" si="19"/>
        <v>0</v>
      </c>
      <c r="P84">
        <f t="shared" si="20"/>
        <v>0</v>
      </c>
      <c r="Q84">
        <f t="shared" si="21"/>
        <v>1</v>
      </c>
      <c r="R84">
        <v>4.8917684345974412E-2</v>
      </c>
      <c r="S84">
        <v>3.1399725509168606E-2</v>
      </c>
      <c r="T84">
        <f t="shared" si="22"/>
        <v>0</v>
      </c>
      <c r="U84">
        <f t="shared" si="23"/>
        <v>0</v>
      </c>
      <c r="V84">
        <f t="shared" si="24"/>
        <v>1</v>
      </c>
      <c r="W84" s="9">
        <f t="shared" si="25"/>
        <v>0</v>
      </c>
    </row>
    <row r="85" spans="1:23" x14ac:dyDescent="0.35">
      <c r="A85" s="1" t="s">
        <v>84</v>
      </c>
      <c r="B85">
        <v>950787.05420560751</v>
      </c>
      <c r="C85">
        <v>838063.53831775696</v>
      </c>
      <c r="D85">
        <f t="shared" si="13"/>
        <v>1</v>
      </c>
      <c r="E85">
        <f t="shared" si="14"/>
        <v>0</v>
      </c>
      <c r="F85">
        <f t="shared" si="15"/>
        <v>0</v>
      </c>
      <c r="G85">
        <f t="shared" si="16"/>
        <v>1</v>
      </c>
      <c r="H85">
        <v>317418.05731139297</v>
      </c>
      <c r="I85">
        <v>187602.01849774609</v>
      </c>
      <c r="J85">
        <f t="shared" si="17"/>
        <v>1</v>
      </c>
      <c r="L85">
        <v>291516.94681290927</v>
      </c>
      <c r="M85">
        <v>236470.27498342181</v>
      </c>
      <c r="N85">
        <f t="shared" si="18"/>
        <v>0</v>
      </c>
      <c r="O85">
        <f t="shared" si="19"/>
        <v>0</v>
      </c>
      <c r="P85">
        <f t="shared" si="20"/>
        <v>0</v>
      </c>
      <c r="Q85">
        <f t="shared" si="21"/>
        <v>1</v>
      </c>
      <c r="R85">
        <v>6.9141166594066591E-2</v>
      </c>
      <c r="S85">
        <v>1.4189132697862096E-2</v>
      </c>
      <c r="T85">
        <f t="shared" si="22"/>
        <v>0</v>
      </c>
      <c r="U85">
        <f t="shared" si="23"/>
        <v>0</v>
      </c>
      <c r="V85">
        <f t="shared" si="24"/>
        <v>1</v>
      </c>
      <c r="W85" s="9">
        <f t="shared" si="25"/>
        <v>0</v>
      </c>
    </row>
    <row r="86" spans="1:23" x14ac:dyDescent="0.35">
      <c r="A86" s="1" t="s">
        <v>85</v>
      </c>
      <c r="B86">
        <v>1026496.637065637</v>
      </c>
      <c r="C86">
        <v>481667.42471042468</v>
      </c>
      <c r="D86">
        <f t="shared" si="13"/>
        <v>1</v>
      </c>
      <c r="E86">
        <f t="shared" si="14"/>
        <v>0</v>
      </c>
      <c r="F86">
        <f t="shared" si="15"/>
        <v>0</v>
      </c>
      <c r="G86">
        <f t="shared" si="16"/>
        <v>1</v>
      </c>
      <c r="H86">
        <v>325768.45367347199</v>
      </c>
      <c r="I86">
        <v>120772.2281015091</v>
      </c>
      <c r="J86">
        <f t="shared" si="17"/>
        <v>1</v>
      </c>
      <c r="L86">
        <v>160106.56357466031</v>
      </c>
      <c r="M86">
        <v>230144.1122996448</v>
      </c>
      <c r="N86">
        <f t="shared" si="18"/>
        <v>1</v>
      </c>
      <c r="O86">
        <f t="shared" si="19"/>
        <v>1</v>
      </c>
      <c r="P86">
        <f t="shared" si="20"/>
        <v>0</v>
      </c>
      <c r="Q86">
        <f t="shared" si="21"/>
        <v>0</v>
      </c>
      <c r="R86">
        <v>2.6465205728553366E-2</v>
      </c>
      <c r="S86">
        <v>1.6584217694300022E-2</v>
      </c>
      <c r="T86">
        <f t="shared" si="22"/>
        <v>0</v>
      </c>
      <c r="U86">
        <f t="shared" si="23"/>
        <v>0</v>
      </c>
      <c r="V86">
        <f t="shared" si="24"/>
        <v>0</v>
      </c>
      <c r="W86" s="9">
        <f t="shared" si="25"/>
        <v>1</v>
      </c>
    </row>
    <row r="87" spans="1:23" x14ac:dyDescent="0.35">
      <c r="A87" s="1" t="s">
        <v>86</v>
      </c>
      <c r="B87">
        <v>1807515.454741379</v>
      </c>
      <c r="C87">
        <v>4704.3502155172409</v>
      </c>
      <c r="D87">
        <f t="shared" si="13"/>
        <v>1</v>
      </c>
      <c r="E87">
        <f t="shared" si="14"/>
        <v>1</v>
      </c>
      <c r="F87">
        <f t="shared" si="15"/>
        <v>0</v>
      </c>
      <c r="G87">
        <f t="shared" si="16"/>
        <v>0</v>
      </c>
      <c r="H87">
        <v>752729.80718717119</v>
      </c>
      <c r="I87">
        <v>1271.2434902950199</v>
      </c>
      <c r="J87">
        <f t="shared" si="17"/>
        <v>1</v>
      </c>
      <c r="L87">
        <v>299</v>
      </c>
      <c r="M87">
        <v>29315.621977668579</v>
      </c>
      <c r="N87">
        <f t="shared" si="18"/>
        <v>1</v>
      </c>
      <c r="O87">
        <f t="shared" si="19"/>
        <v>0</v>
      </c>
      <c r="P87">
        <f t="shared" si="20"/>
        <v>0</v>
      </c>
      <c r="Q87">
        <f t="shared" si="21"/>
        <v>0</v>
      </c>
      <c r="R87">
        <v>2.8487927196109118E-3</v>
      </c>
      <c r="S87">
        <v>1.1461546825501011E-2</v>
      </c>
      <c r="T87">
        <f t="shared" si="22"/>
        <v>1</v>
      </c>
      <c r="U87">
        <f t="shared" si="23"/>
        <v>0</v>
      </c>
      <c r="V87">
        <f t="shared" si="24"/>
        <v>0</v>
      </c>
      <c r="W87" s="9">
        <f t="shared" si="25"/>
        <v>1</v>
      </c>
    </row>
    <row r="88" spans="1:23" x14ac:dyDescent="0.35">
      <c r="A88" s="1" t="s">
        <v>87</v>
      </c>
      <c r="B88">
        <v>2476680.205823293</v>
      </c>
      <c r="C88">
        <v>1374839.157630522</v>
      </c>
      <c r="D88">
        <f t="shared" si="13"/>
        <v>1</v>
      </c>
      <c r="E88">
        <f t="shared" si="14"/>
        <v>0</v>
      </c>
      <c r="F88">
        <f t="shared" si="15"/>
        <v>0</v>
      </c>
      <c r="G88">
        <f t="shared" si="16"/>
        <v>1</v>
      </c>
      <c r="H88">
        <v>939225.52971983468</v>
      </c>
      <c r="I88">
        <v>315200.72175859101</v>
      </c>
      <c r="J88">
        <f t="shared" si="17"/>
        <v>1</v>
      </c>
      <c r="L88">
        <v>512344.5393715314</v>
      </c>
      <c r="M88">
        <v>759257.19003898813</v>
      </c>
      <c r="N88">
        <f t="shared" si="18"/>
        <v>1</v>
      </c>
      <c r="O88">
        <f t="shared" si="19"/>
        <v>0</v>
      </c>
      <c r="P88">
        <f t="shared" si="20"/>
        <v>0</v>
      </c>
      <c r="Q88">
        <f t="shared" si="21"/>
        <v>1</v>
      </c>
      <c r="R88">
        <v>1.7558993915497551E-2</v>
      </c>
      <c r="S88">
        <v>4.7122569774022856E-2</v>
      </c>
      <c r="T88">
        <f t="shared" si="22"/>
        <v>1</v>
      </c>
      <c r="U88">
        <f t="shared" si="23"/>
        <v>1</v>
      </c>
      <c r="V88">
        <f t="shared" si="24"/>
        <v>0</v>
      </c>
      <c r="W88" s="9">
        <f t="shared" si="25"/>
        <v>1</v>
      </c>
    </row>
    <row r="89" spans="1:23" x14ac:dyDescent="0.35">
      <c r="A89" s="1" t="s">
        <v>88</v>
      </c>
      <c r="B89">
        <v>916001.19876416062</v>
      </c>
      <c r="C89">
        <v>97710.898043254376</v>
      </c>
      <c r="D89">
        <f t="shared" si="13"/>
        <v>1</v>
      </c>
      <c r="E89">
        <f t="shared" si="14"/>
        <v>1</v>
      </c>
      <c r="F89">
        <f t="shared" si="15"/>
        <v>0</v>
      </c>
      <c r="G89">
        <f t="shared" si="16"/>
        <v>0</v>
      </c>
      <c r="H89">
        <v>357348.01754500822</v>
      </c>
      <c r="I89">
        <v>33207.582049090743</v>
      </c>
      <c r="J89">
        <f t="shared" si="17"/>
        <v>1</v>
      </c>
      <c r="L89">
        <v>36016.528500897868</v>
      </c>
      <c r="M89">
        <v>228710.22278029</v>
      </c>
      <c r="N89">
        <f t="shared" si="18"/>
        <v>1</v>
      </c>
      <c r="O89">
        <f t="shared" si="19"/>
        <v>0</v>
      </c>
      <c r="P89">
        <f t="shared" si="20"/>
        <v>0</v>
      </c>
      <c r="Q89">
        <f t="shared" si="21"/>
        <v>0</v>
      </c>
      <c r="R89">
        <v>3.2404992581455218E-2</v>
      </c>
      <c r="S89">
        <v>1.853903802759286E-3</v>
      </c>
      <c r="T89">
        <f t="shared" si="22"/>
        <v>0</v>
      </c>
      <c r="U89">
        <f t="shared" si="23"/>
        <v>0</v>
      </c>
      <c r="V89">
        <f t="shared" si="24"/>
        <v>0</v>
      </c>
      <c r="W89" s="9">
        <f t="shared" si="25"/>
        <v>1</v>
      </c>
    </row>
    <row r="90" spans="1:23" x14ac:dyDescent="0.35">
      <c r="A90" s="1" t="s">
        <v>89</v>
      </c>
      <c r="B90">
        <v>1613710.1322033899</v>
      </c>
      <c r="C90">
        <v>6266.5576271186437</v>
      </c>
      <c r="D90">
        <f t="shared" si="13"/>
        <v>1</v>
      </c>
      <c r="E90">
        <f t="shared" si="14"/>
        <v>1</v>
      </c>
      <c r="F90">
        <f t="shared" si="15"/>
        <v>0</v>
      </c>
      <c r="G90">
        <f t="shared" si="16"/>
        <v>0</v>
      </c>
      <c r="H90">
        <v>615298.5502821845</v>
      </c>
      <c r="I90">
        <v>1748.052384615723</v>
      </c>
      <c r="J90">
        <f t="shared" si="17"/>
        <v>1</v>
      </c>
      <c r="L90">
        <v>630.22226107226106</v>
      </c>
      <c r="M90">
        <v>88790.185837702214</v>
      </c>
      <c r="N90">
        <f t="shared" si="18"/>
        <v>1</v>
      </c>
      <c r="O90">
        <f t="shared" si="19"/>
        <v>0</v>
      </c>
      <c r="P90">
        <f t="shared" si="20"/>
        <v>0</v>
      </c>
      <c r="Q90">
        <f t="shared" si="21"/>
        <v>0</v>
      </c>
      <c r="R90">
        <v>3.968492875773507E-2</v>
      </c>
      <c r="S90">
        <v>2.1053084114459872E-2</v>
      </c>
      <c r="T90">
        <f t="shared" si="22"/>
        <v>0</v>
      </c>
      <c r="U90">
        <f t="shared" si="23"/>
        <v>0</v>
      </c>
      <c r="V90">
        <f t="shared" si="24"/>
        <v>0</v>
      </c>
      <c r="W90" s="9">
        <f t="shared" si="25"/>
        <v>1</v>
      </c>
    </row>
    <row r="91" spans="1:23" x14ac:dyDescent="0.35">
      <c r="A91" s="1" t="s">
        <v>90</v>
      </c>
      <c r="B91">
        <v>781686.25048543687</v>
      </c>
      <c r="C91">
        <v>423740.3242718447</v>
      </c>
      <c r="D91">
        <f t="shared" si="13"/>
        <v>1</v>
      </c>
      <c r="E91">
        <f t="shared" si="14"/>
        <v>0</v>
      </c>
      <c r="F91">
        <f t="shared" si="15"/>
        <v>0</v>
      </c>
      <c r="G91">
        <f t="shared" si="16"/>
        <v>1</v>
      </c>
      <c r="H91">
        <v>231893.01584421401</v>
      </c>
      <c r="I91">
        <v>111376.338031627</v>
      </c>
      <c r="J91">
        <f t="shared" si="17"/>
        <v>1</v>
      </c>
      <c r="L91">
        <v>104000.2941596071</v>
      </c>
      <c r="M91">
        <v>175999.08840541379</v>
      </c>
      <c r="N91">
        <f t="shared" si="18"/>
        <v>1</v>
      </c>
      <c r="O91">
        <f t="shared" si="19"/>
        <v>1</v>
      </c>
      <c r="P91">
        <f t="shared" si="20"/>
        <v>0</v>
      </c>
      <c r="Q91">
        <f t="shared" si="21"/>
        <v>0</v>
      </c>
      <c r="R91">
        <v>2.2126941751130245E-2</v>
      </c>
      <c r="S91">
        <v>3.3094570688516907E-2</v>
      </c>
      <c r="T91">
        <f t="shared" si="22"/>
        <v>1</v>
      </c>
      <c r="U91">
        <f t="shared" si="23"/>
        <v>0</v>
      </c>
      <c r="V91">
        <f t="shared" si="24"/>
        <v>0</v>
      </c>
      <c r="W91" s="9">
        <f t="shared" si="25"/>
        <v>1</v>
      </c>
    </row>
    <row r="92" spans="1:23" x14ac:dyDescent="0.35">
      <c r="A92" s="1" t="s">
        <v>91</v>
      </c>
      <c r="B92">
        <v>1562399.140676118</v>
      </c>
      <c r="C92">
        <v>5336.4612868047989</v>
      </c>
      <c r="D92">
        <f t="shared" si="13"/>
        <v>1</v>
      </c>
      <c r="E92">
        <f t="shared" si="14"/>
        <v>1</v>
      </c>
      <c r="F92">
        <f t="shared" si="15"/>
        <v>0</v>
      </c>
      <c r="G92">
        <f t="shared" si="16"/>
        <v>0</v>
      </c>
      <c r="H92">
        <v>388806.31000144302</v>
      </c>
      <c r="I92">
        <v>1446.045411650962</v>
      </c>
      <c r="J92">
        <f t="shared" si="17"/>
        <v>1</v>
      </c>
      <c r="L92">
        <v>172.7</v>
      </c>
      <c r="M92">
        <v>69659.624985556628</v>
      </c>
      <c r="N92">
        <f t="shared" si="18"/>
        <v>1</v>
      </c>
      <c r="O92">
        <f t="shared" si="19"/>
        <v>0</v>
      </c>
      <c r="P92">
        <f t="shared" si="20"/>
        <v>0</v>
      </c>
      <c r="Q92">
        <f t="shared" si="21"/>
        <v>0</v>
      </c>
      <c r="R92">
        <v>1.3997034464655186E-2</v>
      </c>
      <c r="S92">
        <v>4.0419351847294088E-2</v>
      </c>
      <c r="T92">
        <f t="shared" si="22"/>
        <v>1</v>
      </c>
      <c r="U92">
        <f t="shared" si="23"/>
        <v>0</v>
      </c>
      <c r="V92">
        <f t="shared" si="24"/>
        <v>0</v>
      </c>
      <c r="W92" s="9">
        <f t="shared" si="25"/>
        <v>1</v>
      </c>
    </row>
    <row r="93" spans="1:23" x14ac:dyDescent="0.35">
      <c r="A93" s="1" t="s">
        <v>92</v>
      </c>
      <c r="B93">
        <v>1303134.2277227719</v>
      </c>
      <c r="C93">
        <v>636647.59603960393</v>
      </c>
      <c r="D93">
        <f t="shared" si="13"/>
        <v>1</v>
      </c>
      <c r="E93">
        <f t="shared" si="14"/>
        <v>0</v>
      </c>
      <c r="F93">
        <f t="shared" si="15"/>
        <v>0</v>
      </c>
      <c r="G93">
        <f t="shared" si="16"/>
        <v>1</v>
      </c>
      <c r="H93">
        <v>577300.98279218492</v>
      </c>
      <c r="I93">
        <v>201014.9158865099</v>
      </c>
      <c r="J93">
        <f t="shared" si="17"/>
        <v>1</v>
      </c>
      <c r="L93">
        <v>286151.45390733052</v>
      </c>
      <c r="M93">
        <v>347002.95353985962</v>
      </c>
      <c r="N93">
        <f t="shared" si="18"/>
        <v>1</v>
      </c>
      <c r="O93">
        <f t="shared" si="19"/>
        <v>1</v>
      </c>
      <c r="P93">
        <f t="shared" si="20"/>
        <v>0</v>
      </c>
      <c r="Q93">
        <f t="shared" si="21"/>
        <v>0</v>
      </c>
      <c r="R93">
        <v>2.5426774144559649E-3</v>
      </c>
      <c r="S93">
        <v>9.4175307560603605E-2</v>
      </c>
      <c r="T93">
        <f t="shared" si="22"/>
        <v>1</v>
      </c>
      <c r="U93">
        <f t="shared" si="23"/>
        <v>0</v>
      </c>
      <c r="V93">
        <f t="shared" si="24"/>
        <v>0</v>
      </c>
      <c r="W93" s="9">
        <f t="shared" si="25"/>
        <v>1</v>
      </c>
    </row>
    <row r="94" spans="1:23" x14ac:dyDescent="0.35">
      <c r="A94" s="1" t="s">
        <v>93</v>
      </c>
      <c r="B94">
        <v>947093.6843853821</v>
      </c>
      <c r="C94">
        <v>7829.3870431893683</v>
      </c>
      <c r="D94">
        <f t="shared" si="13"/>
        <v>1</v>
      </c>
      <c r="E94">
        <f t="shared" si="14"/>
        <v>1</v>
      </c>
      <c r="F94">
        <f t="shared" si="15"/>
        <v>0</v>
      </c>
      <c r="G94">
        <f t="shared" si="16"/>
        <v>0</v>
      </c>
      <c r="H94">
        <v>292963.80825794733</v>
      </c>
      <c r="I94">
        <v>2262.2139165368608</v>
      </c>
      <c r="J94">
        <f t="shared" si="17"/>
        <v>1</v>
      </c>
      <c r="L94">
        <v>986.07292707292697</v>
      </c>
      <c r="M94">
        <v>82901.755312016176</v>
      </c>
      <c r="N94">
        <f t="shared" si="18"/>
        <v>1</v>
      </c>
      <c r="O94">
        <f t="shared" si="19"/>
        <v>0</v>
      </c>
      <c r="P94">
        <f t="shared" si="20"/>
        <v>0</v>
      </c>
      <c r="Q94">
        <f t="shared" si="21"/>
        <v>0</v>
      </c>
      <c r="R94">
        <v>2.873883880451223E-2</v>
      </c>
      <c r="S94">
        <v>4.7913608273732221E-2</v>
      </c>
      <c r="T94">
        <f t="shared" si="22"/>
        <v>1</v>
      </c>
      <c r="U94">
        <f t="shared" si="23"/>
        <v>0</v>
      </c>
      <c r="V94">
        <f t="shared" si="24"/>
        <v>0</v>
      </c>
      <c r="W94" s="9">
        <f t="shared" si="25"/>
        <v>1</v>
      </c>
    </row>
    <row r="95" spans="1:23" x14ac:dyDescent="0.35">
      <c r="A95" s="1" t="s">
        <v>94</v>
      </c>
      <c r="B95">
        <v>1187540.879616963</v>
      </c>
      <c r="C95">
        <v>1105542.170998632</v>
      </c>
      <c r="D95">
        <f t="shared" si="13"/>
        <v>1</v>
      </c>
      <c r="E95">
        <f t="shared" si="14"/>
        <v>0</v>
      </c>
      <c r="F95">
        <f t="shared" si="15"/>
        <v>0</v>
      </c>
      <c r="G95">
        <f t="shared" si="16"/>
        <v>1</v>
      </c>
      <c r="H95">
        <v>484712.46251218108</v>
      </c>
      <c r="I95">
        <v>310317.43703376228</v>
      </c>
      <c r="J95">
        <f t="shared" si="17"/>
        <v>1</v>
      </c>
      <c r="L95">
        <v>465068.70895615919</v>
      </c>
      <c r="M95">
        <v>256825.73769813019</v>
      </c>
      <c r="N95">
        <f t="shared" si="18"/>
        <v>0</v>
      </c>
      <c r="O95">
        <f t="shared" si="19"/>
        <v>0</v>
      </c>
      <c r="P95">
        <f t="shared" si="20"/>
        <v>0</v>
      </c>
      <c r="Q95">
        <f t="shared" si="21"/>
        <v>1</v>
      </c>
      <c r="R95">
        <v>1.1031655324085629E-2</v>
      </c>
      <c r="S95">
        <v>6.1643907525396363E-2</v>
      </c>
      <c r="T95">
        <f t="shared" si="22"/>
        <v>1</v>
      </c>
      <c r="U95">
        <f t="shared" si="23"/>
        <v>1</v>
      </c>
      <c r="V95">
        <f t="shared" si="24"/>
        <v>0</v>
      </c>
      <c r="W95" s="9">
        <f t="shared" si="25"/>
        <v>1</v>
      </c>
    </row>
    <row r="96" spans="1:23" x14ac:dyDescent="0.35">
      <c r="A96" s="1" t="s">
        <v>95</v>
      </c>
      <c r="B96">
        <v>967167.80377358489</v>
      </c>
      <c r="C96">
        <v>1012347.594339623</v>
      </c>
      <c r="D96">
        <f t="shared" si="13"/>
        <v>0</v>
      </c>
      <c r="E96">
        <f t="shared" si="14"/>
        <v>0</v>
      </c>
      <c r="F96">
        <f t="shared" si="15"/>
        <v>0</v>
      </c>
      <c r="G96">
        <f t="shared" si="16"/>
        <v>1</v>
      </c>
      <c r="H96">
        <v>444643.3209466922</v>
      </c>
      <c r="I96">
        <v>254946.50079135509</v>
      </c>
      <c r="J96">
        <f t="shared" si="17"/>
        <v>1</v>
      </c>
      <c r="L96">
        <v>467052.08778189041</v>
      </c>
      <c r="M96">
        <v>245260.1691284602</v>
      </c>
      <c r="N96">
        <f t="shared" si="18"/>
        <v>0</v>
      </c>
      <c r="O96">
        <f t="shared" si="19"/>
        <v>0</v>
      </c>
      <c r="P96">
        <f t="shared" si="20"/>
        <v>0</v>
      </c>
      <c r="Q96">
        <f t="shared" si="21"/>
        <v>1</v>
      </c>
      <c r="R96">
        <v>4.0870668700555765E-3</v>
      </c>
      <c r="S96">
        <v>5.7623217550270354E-2</v>
      </c>
      <c r="T96">
        <f t="shared" si="22"/>
        <v>1</v>
      </c>
      <c r="U96">
        <f t="shared" si="23"/>
        <v>1</v>
      </c>
      <c r="V96">
        <f t="shared" si="24"/>
        <v>0</v>
      </c>
      <c r="W96" s="9">
        <f t="shared" si="25"/>
        <v>1</v>
      </c>
    </row>
    <row r="97" spans="1:23" x14ac:dyDescent="0.35">
      <c r="A97" s="1" t="s">
        <v>96</v>
      </c>
      <c r="B97">
        <v>1753979.1146637271</v>
      </c>
      <c r="C97">
        <v>1280946.2800441009</v>
      </c>
      <c r="D97">
        <f t="shared" si="13"/>
        <v>1</v>
      </c>
      <c r="E97">
        <f t="shared" si="14"/>
        <v>0</v>
      </c>
      <c r="F97">
        <f t="shared" si="15"/>
        <v>0</v>
      </c>
      <c r="G97">
        <f t="shared" si="16"/>
        <v>1</v>
      </c>
      <c r="H97">
        <v>653406.89250713249</v>
      </c>
      <c r="I97">
        <v>323345.08469467808</v>
      </c>
      <c r="J97">
        <f t="shared" si="17"/>
        <v>1</v>
      </c>
      <c r="L97">
        <v>580724.79689617269</v>
      </c>
      <c r="M97">
        <v>449746.42046412971</v>
      </c>
      <c r="N97">
        <f t="shared" si="18"/>
        <v>0</v>
      </c>
      <c r="O97">
        <f t="shared" si="19"/>
        <v>0</v>
      </c>
      <c r="P97">
        <f t="shared" si="20"/>
        <v>0</v>
      </c>
      <c r="Q97">
        <f t="shared" si="21"/>
        <v>1</v>
      </c>
      <c r="R97">
        <v>1.4015559681274355E-3</v>
      </c>
      <c r="S97">
        <v>3.6185749986809471E-2</v>
      </c>
      <c r="T97">
        <f t="shared" si="22"/>
        <v>1</v>
      </c>
      <c r="U97">
        <f t="shared" si="23"/>
        <v>1</v>
      </c>
      <c r="V97">
        <f t="shared" si="24"/>
        <v>0</v>
      </c>
      <c r="W97" s="9">
        <f t="shared" si="25"/>
        <v>1</v>
      </c>
    </row>
    <row r="98" spans="1:23" x14ac:dyDescent="0.35">
      <c r="A98" s="1" t="s">
        <v>97</v>
      </c>
      <c r="B98">
        <v>1297163.4939493949</v>
      </c>
      <c r="C98">
        <v>113225.0165016502</v>
      </c>
      <c r="D98">
        <f t="shared" si="13"/>
        <v>1</v>
      </c>
      <c r="E98">
        <f t="shared" si="14"/>
        <v>1</v>
      </c>
      <c r="F98">
        <f t="shared" si="15"/>
        <v>0</v>
      </c>
      <c r="G98">
        <f t="shared" si="16"/>
        <v>0</v>
      </c>
      <c r="H98">
        <v>495932.62495042209</v>
      </c>
      <c r="I98">
        <v>24930.352271668879</v>
      </c>
      <c r="J98">
        <f t="shared" si="17"/>
        <v>1</v>
      </c>
      <c r="L98">
        <v>26939.73324905779</v>
      </c>
      <c r="M98">
        <v>332969.05857408809</v>
      </c>
      <c r="N98">
        <f t="shared" si="18"/>
        <v>1</v>
      </c>
      <c r="O98">
        <f t="shared" si="19"/>
        <v>0</v>
      </c>
      <c r="P98">
        <f t="shared" si="20"/>
        <v>0</v>
      </c>
      <c r="Q98">
        <f t="shared" si="21"/>
        <v>0</v>
      </c>
      <c r="R98">
        <v>3.9802434811901516E-3</v>
      </c>
      <c r="S98">
        <v>2.0261457473645128E-3</v>
      </c>
      <c r="T98">
        <f t="shared" si="22"/>
        <v>0</v>
      </c>
      <c r="U98">
        <f t="shared" si="23"/>
        <v>0</v>
      </c>
      <c r="V98">
        <f t="shared" si="24"/>
        <v>0</v>
      </c>
      <c r="W98" s="9">
        <f t="shared" si="25"/>
        <v>1</v>
      </c>
    </row>
    <row r="99" spans="1:23" x14ac:dyDescent="0.35">
      <c r="A99" s="1" t="s">
        <v>98</v>
      </c>
      <c r="B99">
        <v>934762.87766990298</v>
      </c>
      <c r="C99">
        <v>802386.4</v>
      </c>
      <c r="D99">
        <f t="shared" si="13"/>
        <v>1</v>
      </c>
      <c r="E99">
        <f t="shared" si="14"/>
        <v>0</v>
      </c>
      <c r="F99">
        <f t="shared" si="15"/>
        <v>0</v>
      </c>
      <c r="G99">
        <f t="shared" si="16"/>
        <v>1</v>
      </c>
      <c r="H99">
        <v>356792.37314526021</v>
      </c>
      <c r="I99">
        <v>182655.01710942839</v>
      </c>
      <c r="J99">
        <f t="shared" si="17"/>
        <v>1</v>
      </c>
      <c r="L99">
        <v>304945.77216190472</v>
      </c>
      <c r="M99">
        <v>237952.35959540741</v>
      </c>
      <c r="N99">
        <f t="shared" si="18"/>
        <v>0</v>
      </c>
      <c r="O99">
        <f t="shared" si="19"/>
        <v>0</v>
      </c>
      <c r="P99">
        <f t="shared" si="20"/>
        <v>0</v>
      </c>
      <c r="Q99">
        <f t="shared" si="21"/>
        <v>1</v>
      </c>
      <c r="R99">
        <v>3.2807506507029391E-2</v>
      </c>
      <c r="S99">
        <v>2.6420488644849825E-2</v>
      </c>
      <c r="T99">
        <f t="shared" si="22"/>
        <v>0</v>
      </c>
      <c r="U99">
        <f t="shared" si="23"/>
        <v>0</v>
      </c>
      <c r="V99">
        <f t="shared" si="24"/>
        <v>1</v>
      </c>
      <c r="W99" s="9">
        <f t="shared" si="25"/>
        <v>0</v>
      </c>
    </row>
    <row r="100" spans="1:23" x14ac:dyDescent="0.35">
      <c r="A100" s="1" t="s">
        <v>99</v>
      </c>
      <c r="B100">
        <v>911862.5921717172</v>
      </c>
      <c r="C100">
        <v>300119.56565656571</v>
      </c>
      <c r="D100">
        <f t="shared" si="13"/>
        <v>1</v>
      </c>
      <c r="E100">
        <f t="shared" si="14"/>
        <v>1</v>
      </c>
      <c r="F100">
        <f t="shared" si="15"/>
        <v>0</v>
      </c>
      <c r="G100">
        <f t="shared" si="16"/>
        <v>0</v>
      </c>
      <c r="H100">
        <v>306034.09872843127</v>
      </c>
      <c r="I100">
        <v>86261.722656871571</v>
      </c>
      <c r="J100">
        <f t="shared" si="17"/>
        <v>1</v>
      </c>
      <c r="L100">
        <v>93372.731177200098</v>
      </c>
      <c r="M100">
        <v>256413.27034938961</v>
      </c>
      <c r="N100">
        <f t="shared" si="18"/>
        <v>1</v>
      </c>
      <c r="O100">
        <f t="shared" si="19"/>
        <v>0</v>
      </c>
      <c r="P100">
        <f t="shared" si="20"/>
        <v>0</v>
      </c>
      <c r="Q100">
        <f t="shared" si="21"/>
        <v>0</v>
      </c>
      <c r="R100">
        <v>1.5091833967753692E-2</v>
      </c>
      <c r="S100">
        <v>2.3124569407937817E-2</v>
      </c>
      <c r="T100">
        <f t="shared" si="22"/>
        <v>1</v>
      </c>
      <c r="U100">
        <f t="shared" si="23"/>
        <v>0</v>
      </c>
      <c r="V100">
        <f t="shared" si="24"/>
        <v>0</v>
      </c>
      <c r="W100" s="9">
        <f t="shared" si="25"/>
        <v>1</v>
      </c>
    </row>
    <row r="101" spans="1:23" x14ac:dyDescent="0.35">
      <c r="A101" s="1" t="s">
        <v>100</v>
      </c>
      <c r="B101">
        <v>311191.27744270198</v>
      </c>
      <c r="C101">
        <v>1696301.388419783</v>
      </c>
      <c r="D101">
        <f t="shared" si="13"/>
        <v>0</v>
      </c>
      <c r="E101">
        <f t="shared" si="14"/>
        <v>0</v>
      </c>
      <c r="F101">
        <f t="shared" si="15"/>
        <v>1</v>
      </c>
      <c r="G101">
        <f t="shared" si="16"/>
        <v>0</v>
      </c>
      <c r="H101">
        <v>91445.726620426809</v>
      </c>
      <c r="I101">
        <v>439823.33933018032</v>
      </c>
      <c r="J101">
        <f t="shared" si="17"/>
        <v>0</v>
      </c>
      <c r="L101">
        <v>508752.26725491253</v>
      </c>
      <c r="M101">
        <v>105739.9403838586</v>
      </c>
      <c r="N101">
        <f t="shared" si="18"/>
        <v>0</v>
      </c>
      <c r="O101">
        <f t="shared" si="19"/>
        <v>0</v>
      </c>
      <c r="P101">
        <f t="shared" si="20"/>
        <v>0</v>
      </c>
      <c r="Q101">
        <f t="shared" si="21"/>
        <v>0</v>
      </c>
      <c r="R101">
        <v>1.4324301348199326E-2</v>
      </c>
      <c r="S101">
        <v>2.17174344858608E-2</v>
      </c>
      <c r="T101">
        <f t="shared" si="22"/>
        <v>1</v>
      </c>
      <c r="U101">
        <f t="shared" si="23"/>
        <v>0</v>
      </c>
      <c r="V101">
        <f t="shared" si="24"/>
        <v>0</v>
      </c>
      <c r="W101" s="9">
        <f t="shared" si="25"/>
        <v>0</v>
      </c>
    </row>
    <row r="102" spans="1:23" ht="15" thickBot="1" x14ac:dyDescent="0.4">
      <c r="A102" s="1" t="s">
        <v>101</v>
      </c>
      <c r="B102" s="5">
        <v>1777671.861111111</v>
      </c>
      <c r="C102" s="5">
        <v>1287916.985449736</v>
      </c>
      <c r="D102" s="5">
        <f t="shared" si="13"/>
        <v>1</v>
      </c>
      <c r="E102" s="5">
        <f t="shared" si="14"/>
        <v>0</v>
      </c>
      <c r="F102" s="5">
        <f t="shared" si="15"/>
        <v>0</v>
      </c>
      <c r="G102" s="5">
        <f t="shared" si="16"/>
        <v>1</v>
      </c>
      <c r="H102">
        <v>682781.74753143673</v>
      </c>
      <c r="I102">
        <v>372453.4792049317</v>
      </c>
      <c r="J102">
        <f t="shared" si="17"/>
        <v>1</v>
      </c>
      <c r="L102">
        <v>555991.58363264648</v>
      </c>
      <c r="M102">
        <v>449549.86742795742</v>
      </c>
      <c r="N102">
        <f t="shared" si="18"/>
        <v>0</v>
      </c>
      <c r="O102">
        <f t="shared" si="19"/>
        <v>0</v>
      </c>
      <c r="P102">
        <f t="shared" si="20"/>
        <v>0</v>
      </c>
      <c r="Q102">
        <f t="shared" si="21"/>
        <v>1</v>
      </c>
      <c r="R102" s="5">
        <v>3.4256520799521566E-2</v>
      </c>
      <c r="S102" s="5">
        <v>4.3139284839455949E-2</v>
      </c>
      <c r="T102" s="5">
        <f t="shared" si="22"/>
        <v>1</v>
      </c>
      <c r="U102">
        <f t="shared" si="23"/>
        <v>1</v>
      </c>
      <c r="V102">
        <f t="shared" si="24"/>
        <v>0</v>
      </c>
      <c r="W102" s="9">
        <f t="shared" si="25"/>
        <v>1</v>
      </c>
    </row>
    <row r="103" spans="1:23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2025-05-12T16:19:20Z</dcterms:created>
  <dcterms:modified xsi:type="dcterms:W3CDTF">2025-05-12T16:22:30Z</dcterms:modified>
</cp:coreProperties>
</file>