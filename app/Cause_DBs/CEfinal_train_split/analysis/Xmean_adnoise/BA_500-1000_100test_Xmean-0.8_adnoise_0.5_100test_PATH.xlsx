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3F921EDC0ABCD2E372C4C599DDE1B2B7DD871BC" xr6:coauthVersionLast="47" xr6:coauthVersionMax="47" xr10:uidLastSave="{46DFB5E7-5D5C-49A5-8ACE-550EA36B452E}"/>
  <bookViews>
    <workbookView xWindow="9420" yWindow="876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1" i="1" s="1"/>
  <c r="G3" i="1"/>
  <c r="G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<sst xmlns="http://schemas.openxmlformats.org/spreadsheetml/2006/main" count="104" uniqueCount="102">
  <si>
    <t>Path(['Xmean', 'add_noise']A)</t>
  </si>
  <si>
    <t>Path(['Xmean', 'add_noise']B)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</si>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</sst>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G1" sqref="G1:G1048576"/>
    </sheetView>
  </sheetViews>
  <sheetFormatPr defaultRowHeight="14.5" x14ac:dyDescent="0.35"/>
  <cols>
    <col min="1" max="1" width="8.81640625" bestFit="1" customWidth="1"/>
    <col min="2" max="2" width="26.08984375" bestFit="1" customWidth="1"/>
    <col min="3" max="3" width="26" bestFit="1" customWidth="1"/>
    <col min="4" max="4" width="18.08984375" customWidth="1"/>
    <col min="5" max="5" width="26" bestFit="1" customWidth="1"/>
    <col min="6" max="6" width="26.08984375" bestFit="1" customWidth="1"/>
    <col min="7" max="7" width="18.08984375" customWidth="1"/>
  </cols>
  <sheetData>
    <row r="1" spans="1:7" x14ac:dyDescent="0.35">
      <c r="B1" s="1" t="s">
        <v>0</v>
      </c>
      <c r="C1" s="1" t="s">
        <v>1</v>
      </c>
      <c r="D1" s="1">
        <f>SUM(D2:D101)</f>
        <v>88</v>
      </c>
      <c r="E1" s="1" t="s">
        <v>1</v>
      </c>
      <c r="F1" s="1" t="s">
        <v>0</v>
      </c>
      <c r="G1" s="1">
        <f>SUM(G2:G101)</f>
        <v>45</v>
      </c>
    </row>
    <row r="2" spans="1:7" x14ac:dyDescent="0.35">
      <c r="A2" s="1" t="s">
        <v>2</v>
      </c>
      <c r="B2">
        <v>763406.88172919676</v>
      </c>
      <c r="C2">
        <v>3249.6209957256378</v>
      </c>
      <c r="D2">
        <f>IF(C2&lt;B2,1,0)</f>
        <v>1</v>
      </c>
      <c r="E2">
        <v>685.68430335096991</v>
      </c>
      <c r="F2">
        <v>54466.294663089357</v>
      </c>
      <c r="G2">
        <f>IF(F2&gt;E2,1,0)</f>
        <v>1</v>
      </c>
    </row>
    <row r="3" spans="1:7" x14ac:dyDescent="0.35">
      <c r="A3" s="1" t="s">
        <v>3</v>
      </c>
      <c r="B3">
        <v>625987.31905687146</v>
      </c>
      <c r="C3">
        <v>454172.78042162041</v>
      </c>
      <c r="D3">
        <f t="shared" ref="D3:D66" si="0">IF(C3&lt;B3,1,0)</f>
        <v>1</v>
      </c>
      <c r="E3">
        <v>673220.27915916999</v>
      </c>
      <c r="F3">
        <v>484809.93798798713</v>
      </c>
      <c r="G3">
        <f t="shared" ref="G3:G66" si="1">IF(F3&gt;E3,1,0)</f>
        <v>0</v>
      </c>
    </row>
    <row r="4" spans="1:7" x14ac:dyDescent="0.35">
      <c r="A4" s="1" t="s">
        <v>4</v>
      </c>
      <c r="B4">
        <v>1185997.333688156</v>
      </c>
      <c r="C4">
        <v>540754.23757739679</v>
      </c>
      <c r="D4">
        <f t="shared" si="0"/>
        <v>1</v>
      </c>
      <c r="E4">
        <v>209925.25173490451</v>
      </c>
      <c r="F4">
        <v>645548.56923914584</v>
      </c>
      <c r="G4">
        <f t="shared" si="1"/>
        <v>1</v>
      </c>
    </row>
    <row r="5" spans="1:7" x14ac:dyDescent="0.35">
      <c r="A5" s="1" t="s">
        <v>5</v>
      </c>
      <c r="B5">
        <v>105775.6738997981</v>
      </c>
      <c r="C5">
        <v>193948.59369087851</v>
      </c>
      <c r="D5">
        <f t="shared" si="0"/>
        <v>0</v>
      </c>
      <c r="E5">
        <v>260475.72724291179</v>
      </c>
      <c r="F5">
        <v>73152.929229207235</v>
      </c>
      <c r="G5">
        <f t="shared" si="1"/>
        <v>0</v>
      </c>
    </row>
    <row r="6" spans="1:7" x14ac:dyDescent="0.35">
      <c r="A6" s="1" t="s">
        <v>6</v>
      </c>
      <c r="B6">
        <v>935176.54947864311</v>
      </c>
      <c r="C6">
        <v>433615.48714272969</v>
      </c>
      <c r="D6">
        <f t="shared" si="0"/>
        <v>1</v>
      </c>
      <c r="E6">
        <v>538315.40328530583</v>
      </c>
      <c r="F6">
        <v>640965.23452152428</v>
      </c>
      <c r="G6">
        <f t="shared" si="1"/>
        <v>1</v>
      </c>
    </row>
    <row r="7" spans="1:7" x14ac:dyDescent="0.35">
      <c r="A7" s="1" t="s">
        <v>7</v>
      </c>
      <c r="B7">
        <v>973622.38567107427</v>
      </c>
      <c r="C7">
        <v>734520.09017914732</v>
      </c>
      <c r="D7">
        <f t="shared" si="0"/>
        <v>1</v>
      </c>
      <c r="E7">
        <v>1164463.6922890099</v>
      </c>
      <c r="F7">
        <v>586201.02222614805</v>
      </c>
      <c r="G7">
        <f t="shared" si="1"/>
        <v>0</v>
      </c>
    </row>
    <row r="8" spans="1:7" x14ac:dyDescent="0.35">
      <c r="A8" s="1" t="s">
        <v>8</v>
      </c>
      <c r="B8">
        <v>543469.88430542545</v>
      </c>
      <c r="C8">
        <v>656069.04094054166</v>
      </c>
      <c r="D8">
        <f t="shared" si="0"/>
        <v>0</v>
      </c>
      <c r="E8">
        <v>1198346.5368029331</v>
      </c>
      <c r="F8">
        <v>582446.4930266256</v>
      </c>
      <c r="G8">
        <f t="shared" si="1"/>
        <v>0</v>
      </c>
    </row>
    <row r="9" spans="1:7" x14ac:dyDescent="0.35">
      <c r="A9" s="1" t="s">
        <v>9</v>
      </c>
      <c r="B9">
        <v>747907.7268874133</v>
      </c>
      <c r="C9">
        <v>1093.581686229448</v>
      </c>
      <c r="D9">
        <f t="shared" si="0"/>
        <v>1</v>
      </c>
      <c r="E9">
        <v>225.36585365853659</v>
      </c>
      <c r="F9">
        <v>23089.337742549029</v>
      </c>
      <c r="G9">
        <f t="shared" si="1"/>
        <v>1</v>
      </c>
    </row>
    <row r="10" spans="1:7" x14ac:dyDescent="0.35">
      <c r="A10" s="1" t="s">
        <v>10</v>
      </c>
      <c r="B10">
        <v>674704.67819968495</v>
      </c>
      <c r="C10">
        <v>24230.211455072229</v>
      </c>
      <c r="D10">
        <f t="shared" si="0"/>
        <v>1</v>
      </c>
      <c r="E10">
        <v>15954.44810277055</v>
      </c>
      <c r="F10">
        <v>406116.10817329638</v>
      </c>
      <c r="G10">
        <f t="shared" si="1"/>
        <v>1</v>
      </c>
    </row>
    <row r="11" spans="1:7" x14ac:dyDescent="0.35">
      <c r="A11" s="1" t="s">
        <v>11</v>
      </c>
      <c r="B11">
        <v>909404.5698903664</v>
      </c>
      <c r="C11">
        <v>611316.92994063406</v>
      </c>
      <c r="D11">
        <f t="shared" si="0"/>
        <v>1</v>
      </c>
      <c r="E11">
        <v>883497.93243791489</v>
      </c>
      <c r="F11">
        <v>780197.90817288146</v>
      </c>
      <c r="G11">
        <f t="shared" si="1"/>
        <v>0</v>
      </c>
    </row>
    <row r="12" spans="1:7" x14ac:dyDescent="0.35">
      <c r="A12" s="1" t="s">
        <v>12</v>
      </c>
      <c r="B12">
        <v>859008.73334008246</v>
      </c>
      <c r="C12">
        <v>705308.27049590461</v>
      </c>
      <c r="D12">
        <f t="shared" si="0"/>
        <v>1</v>
      </c>
      <c r="E12">
        <v>795175.24488773302</v>
      </c>
      <c r="F12">
        <v>603709.15194860275</v>
      </c>
      <c r="G12">
        <f t="shared" si="1"/>
        <v>0</v>
      </c>
    </row>
    <row r="13" spans="1:7" x14ac:dyDescent="0.35">
      <c r="A13" s="1" t="s">
        <v>13</v>
      </c>
      <c r="B13">
        <v>638329.12693375279</v>
      </c>
      <c r="C13">
        <v>426171.97522337892</v>
      </c>
      <c r="D13">
        <f t="shared" si="0"/>
        <v>1</v>
      </c>
      <c r="E13">
        <v>501003.91165914468</v>
      </c>
      <c r="F13">
        <v>498325.10480264667</v>
      </c>
      <c r="G13">
        <f t="shared" si="1"/>
        <v>0</v>
      </c>
    </row>
    <row r="14" spans="1:7" x14ac:dyDescent="0.35">
      <c r="A14" s="1" t="s">
        <v>14</v>
      </c>
      <c r="B14">
        <v>568333.09344959061</v>
      </c>
      <c r="C14">
        <v>491296.08665156149</v>
      </c>
      <c r="D14">
        <f t="shared" si="0"/>
        <v>1</v>
      </c>
      <c r="E14">
        <v>705419.92531725089</v>
      </c>
      <c r="F14">
        <v>460665.37631433411</v>
      </c>
      <c r="G14">
        <f t="shared" si="1"/>
        <v>0</v>
      </c>
    </row>
    <row r="15" spans="1:7" x14ac:dyDescent="0.35">
      <c r="A15" s="1" t="s">
        <v>15</v>
      </c>
      <c r="B15">
        <v>395172.29174301552</v>
      </c>
      <c r="C15">
        <v>1726.2898335007239</v>
      </c>
      <c r="D15">
        <f t="shared" si="0"/>
        <v>1</v>
      </c>
      <c r="E15">
        <v>344.95692307692309</v>
      </c>
      <c r="F15">
        <v>85657.343566584314</v>
      </c>
      <c r="G15">
        <f t="shared" si="1"/>
        <v>1</v>
      </c>
    </row>
    <row r="16" spans="1:7" x14ac:dyDescent="0.35">
      <c r="A16" s="1" t="s">
        <v>16</v>
      </c>
      <c r="B16">
        <v>706753.06696549407</v>
      </c>
      <c r="C16">
        <v>449642.43849782558</v>
      </c>
      <c r="D16">
        <f t="shared" si="0"/>
        <v>1</v>
      </c>
      <c r="E16">
        <v>788435.30077794695</v>
      </c>
      <c r="F16">
        <v>534607.05760668707</v>
      </c>
      <c r="G16">
        <f t="shared" si="1"/>
        <v>0</v>
      </c>
    </row>
    <row r="17" spans="1:7" x14ac:dyDescent="0.35">
      <c r="A17" s="1" t="s">
        <v>17</v>
      </c>
      <c r="B17">
        <v>685256.80786830361</v>
      </c>
      <c r="C17">
        <v>327628.80956454959</v>
      </c>
      <c r="D17">
        <f t="shared" si="0"/>
        <v>1</v>
      </c>
      <c r="E17">
        <v>540542.75729205529</v>
      </c>
      <c r="F17">
        <v>435270.77297371771</v>
      </c>
      <c r="G17">
        <f t="shared" si="1"/>
        <v>0</v>
      </c>
    </row>
    <row r="18" spans="1:7" x14ac:dyDescent="0.35">
      <c r="A18" s="1" t="s">
        <v>18</v>
      </c>
      <c r="B18">
        <v>681238.1757059315</v>
      </c>
      <c r="C18">
        <v>540515.39980766631</v>
      </c>
      <c r="D18">
        <f t="shared" si="0"/>
        <v>1</v>
      </c>
      <c r="E18">
        <v>751180.62568348087</v>
      </c>
      <c r="F18">
        <v>539902.29560415586</v>
      </c>
      <c r="G18">
        <f t="shared" si="1"/>
        <v>0</v>
      </c>
    </row>
    <row r="19" spans="1:7" x14ac:dyDescent="0.35">
      <c r="A19" s="1" t="s">
        <v>19</v>
      </c>
      <c r="B19">
        <v>499472.74464092578</v>
      </c>
      <c r="C19">
        <v>448311.04949021188</v>
      </c>
      <c r="D19">
        <f t="shared" si="0"/>
        <v>1</v>
      </c>
      <c r="E19">
        <v>667061.39241536427</v>
      </c>
      <c r="F19">
        <v>391021.26795707957</v>
      </c>
      <c r="G19">
        <f t="shared" si="1"/>
        <v>0</v>
      </c>
    </row>
    <row r="20" spans="1:7" x14ac:dyDescent="0.35">
      <c r="A20" s="1" t="s">
        <v>20</v>
      </c>
      <c r="B20">
        <v>453517.37765549571</v>
      </c>
      <c r="C20">
        <v>17192.775129039921</v>
      </c>
      <c r="D20">
        <f t="shared" si="0"/>
        <v>1</v>
      </c>
      <c r="E20">
        <v>12688.436268742031</v>
      </c>
      <c r="F20">
        <v>340086.57055268722</v>
      </c>
      <c r="G20">
        <f t="shared" si="1"/>
        <v>1</v>
      </c>
    </row>
    <row r="21" spans="1:7" x14ac:dyDescent="0.35">
      <c r="A21" s="1" t="s">
        <v>21</v>
      </c>
      <c r="B21">
        <v>904921.34915325174</v>
      </c>
      <c r="C21">
        <v>695169.85069082282</v>
      </c>
      <c r="D21">
        <f t="shared" si="0"/>
        <v>1</v>
      </c>
      <c r="E21">
        <v>1113238.8345676309</v>
      </c>
      <c r="F21">
        <v>759238.49639067566</v>
      </c>
      <c r="G21">
        <f t="shared" si="1"/>
        <v>0</v>
      </c>
    </row>
    <row r="22" spans="1:7" x14ac:dyDescent="0.35">
      <c r="A22" s="1" t="s">
        <v>22</v>
      </c>
      <c r="B22">
        <v>658103.90353558783</v>
      </c>
      <c r="C22">
        <v>338063.08252527518</v>
      </c>
      <c r="D22">
        <f t="shared" si="0"/>
        <v>1</v>
      </c>
      <c r="E22">
        <v>609844.49637276784</v>
      </c>
      <c r="F22">
        <v>473273.48597081873</v>
      </c>
      <c r="G22">
        <f t="shared" si="1"/>
        <v>0</v>
      </c>
    </row>
    <row r="23" spans="1:7" x14ac:dyDescent="0.35">
      <c r="A23" s="1" t="s">
        <v>23</v>
      </c>
      <c r="B23">
        <v>691669.01340757811</v>
      </c>
      <c r="C23">
        <v>33141.83075980068</v>
      </c>
      <c r="D23">
        <f t="shared" si="0"/>
        <v>1</v>
      </c>
      <c r="E23">
        <v>18588.062544131411</v>
      </c>
      <c r="F23">
        <v>256878.85154043569</v>
      </c>
      <c r="G23">
        <f t="shared" si="1"/>
        <v>1</v>
      </c>
    </row>
    <row r="24" spans="1:7" x14ac:dyDescent="0.35">
      <c r="A24" s="1" t="s">
        <v>24</v>
      </c>
      <c r="B24">
        <v>533288.34915405442</v>
      </c>
      <c r="C24">
        <v>434377.96898088889</v>
      </c>
      <c r="D24">
        <f t="shared" si="0"/>
        <v>1</v>
      </c>
      <c r="E24">
        <v>527542.15625345497</v>
      </c>
      <c r="F24">
        <v>533715.72708518431</v>
      </c>
      <c r="G24">
        <f t="shared" si="1"/>
        <v>1</v>
      </c>
    </row>
    <row r="25" spans="1:7" x14ac:dyDescent="0.35">
      <c r="A25" s="1" t="s">
        <v>25</v>
      </c>
      <c r="B25">
        <v>810876.39339969994</v>
      </c>
      <c r="C25">
        <v>459659.9731928148</v>
      </c>
      <c r="D25">
        <f t="shared" si="0"/>
        <v>1</v>
      </c>
      <c r="E25">
        <v>680196.88722201285</v>
      </c>
      <c r="F25">
        <v>574314.38325062441</v>
      </c>
      <c r="G25">
        <f t="shared" si="1"/>
        <v>0</v>
      </c>
    </row>
    <row r="26" spans="1:7" x14ac:dyDescent="0.35">
      <c r="A26" s="1" t="s">
        <v>26</v>
      </c>
      <c r="B26">
        <v>672274.94803032326</v>
      </c>
      <c r="C26">
        <v>348663.59287205321</v>
      </c>
      <c r="D26">
        <f t="shared" si="0"/>
        <v>1</v>
      </c>
      <c r="E26">
        <v>648561.84622807009</v>
      </c>
      <c r="F26">
        <v>470797.76548292628</v>
      </c>
      <c r="G26">
        <f t="shared" si="1"/>
        <v>0</v>
      </c>
    </row>
    <row r="27" spans="1:7" x14ac:dyDescent="0.35">
      <c r="A27" s="1" t="s">
        <v>27</v>
      </c>
      <c r="B27">
        <v>649787.32518500485</v>
      </c>
      <c r="C27">
        <v>548257.90563425142</v>
      </c>
      <c r="D27">
        <f t="shared" si="0"/>
        <v>1</v>
      </c>
      <c r="E27">
        <v>846695.5448039216</v>
      </c>
      <c r="F27">
        <v>417669.99470840307</v>
      </c>
      <c r="G27">
        <f t="shared" si="1"/>
        <v>0</v>
      </c>
    </row>
    <row r="28" spans="1:7" x14ac:dyDescent="0.35">
      <c r="A28" s="1" t="s">
        <v>28</v>
      </c>
      <c r="B28">
        <v>557387.49075361923</v>
      </c>
      <c r="C28">
        <v>296914.32297130558</v>
      </c>
      <c r="D28">
        <f t="shared" si="0"/>
        <v>1</v>
      </c>
      <c r="E28">
        <v>195942.21735762851</v>
      </c>
      <c r="F28">
        <v>364782.97195183072</v>
      </c>
      <c r="G28">
        <f t="shared" si="1"/>
        <v>1</v>
      </c>
    </row>
    <row r="29" spans="1:7" x14ac:dyDescent="0.35">
      <c r="A29" s="1" t="s">
        <v>29</v>
      </c>
      <c r="B29">
        <v>309865.4440606297</v>
      </c>
      <c r="C29">
        <v>26072.813023240989</v>
      </c>
      <c r="D29">
        <f t="shared" si="0"/>
        <v>1</v>
      </c>
      <c r="E29">
        <v>15690.35433835091</v>
      </c>
      <c r="F29">
        <v>174947.93667896811</v>
      </c>
      <c r="G29">
        <f t="shared" si="1"/>
        <v>1</v>
      </c>
    </row>
    <row r="30" spans="1:7" x14ac:dyDescent="0.35">
      <c r="A30" s="1" t="s">
        <v>30</v>
      </c>
      <c r="B30">
        <v>995565.63373131212</v>
      </c>
      <c r="C30">
        <v>442.44063754549842</v>
      </c>
      <c r="D30">
        <f t="shared" si="0"/>
        <v>1</v>
      </c>
      <c r="E30">
        <v>13.5</v>
      </c>
      <c r="F30">
        <v>3605.0865751207539</v>
      </c>
      <c r="G30">
        <f t="shared" si="1"/>
        <v>1</v>
      </c>
    </row>
    <row r="31" spans="1:7" x14ac:dyDescent="0.35">
      <c r="A31" s="1" t="s">
        <v>31</v>
      </c>
      <c r="B31">
        <v>804839.92330219783</v>
      </c>
      <c r="C31">
        <v>491789.38173932402</v>
      </c>
      <c r="D31">
        <f t="shared" si="0"/>
        <v>1</v>
      </c>
      <c r="E31">
        <v>804558.14947647741</v>
      </c>
      <c r="F31">
        <v>593671.34239307453</v>
      </c>
      <c r="G31">
        <f t="shared" si="1"/>
        <v>0</v>
      </c>
    </row>
    <row r="32" spans="1:7" x14ac:dyDescent="0.35">
      <c r="A32" s="1" t="s">
        <v>32</v>
      </c>
      <c r="B32">
        <v>907495.03953835554</v>
      </c>
      <c r="C32">
        <v>61530.748632028568</v>
      </c>
      <c r="D32">
        <f t="shared" si="0"/>
        <v>1</v>
      </c>
      <c r="E32">
        <v>36980.451241134753</v>
      </c>
      <c r="F32">
        <v>430211.3526404578</v>
      </c>
      <c r="G32">
        <f t="shared" si="1"/>
        <v>1</v>
      </c>
    </row>
    <row r="33" spans="1:7" x14ac:dyDescent="0.35">
      <c r="A33" s="1" t="s">
        <v>33</v>
      </c>
      <c r="B33">
        <v>349035.54282353201</v>
      </c>
      <c r="C33">
        <v>19716.541921298169</v>
      </c>
      <c r="D33">
        <f t="shared" si="0"/>
        <v>1</v>
      </c>
      <c r="E33">
        <v>14377.999207953149</v>
      </c>
      <c r="F33">
        <v>246056.94062425941</v>
      </c>
      <c r="G33">
        <f t="shared" si="1"/>
        <v>1</v>
      </c>
    </row>
    <row r="34" spans="1:7" x14ac:dyDescent="0.35">
      <c r="A34" s="1" t="s">
        <v>34</v>
      </c>
      <c r="B34">
        <v>596494.9451659451</v>
      </c>
      <c r="C34">
        <v>429275.4887657754</v>
      </c>
      <c r="D34">
        <f t="shared" si="0"/>
        <v>1</v>
      </c>
      <c r="E34">
        <v>616341.87840149866</v>
      </c>
      <c r="F34">
        <v>359934.02590105851</v>
      </c>
      <c r="G34">
        <f t="shared" si="1"/>
        <v>0</v>
      </c>
    </row>
    <row r="35" spans="1:7" x14ac:dyDescent="0.35">
      <c r="A35" s="1" t="s">
        <v>35</v>
      </c>
      <c r="B35">
        <v>462834.82209451828</v>
      </c>
      <c r="C35">
        <v>335906.07777778018</v>
      </c>
      <c r="D35">
        <f t="shared" si="0"/>
        <v>1</v>
      </c>
      <c r="E35">
        <v>645143.56131702056</v>
      </c>
      <c r="F35">
        <v>552439.83745667082</v>
      </c>
      <c r="G35">
        <f t="shared" si="1"/>
        <v>0</v>
      </c>
    </row>
    <row r="36" spans="1:7" x14ac:dyDescent="0.35">
      <c r="A36" s="1" t="s">
        <v>36</v>
      </c>
      <c r="B36">
        <v>508689.86142087792</v>
      </c>
      <c r="C36">
        <v>247721.20489040029</v>
      </c>
      <c r="D36">
        <f t="shared" si="0"/>
        <v>1</v>
      </c>
      <c r="E36">
        <v>97278.752823263683</v>
      </c>
      <c r="F36">
        <v>145296.47363577981</v>
      </c>
      <c r="G36">
        <f t="shared" si="1"/>
        <v>1</v>
      </c>
    </row>
    <row r="37" spans="1:7" x14ac:dyDescent="0.35">
      <c r="A37" s="1" t="s">
        <v>37</v>
      </c>
      <c r="B37">
        <v>736973.10505971871</v>
      </c>
      <c r="C37">
        <v>867115.87860462046</v>
      </c>
      <c r="D37">
        <f t="shared" si="0"/>
        <v>0</v>
      </c>
      <c r="E37">
        <v>893174.1030342069</v>
      </c>
      <c r="F37">
        <v>613211.69022313925</v>
      </c>
      <c r="G37">
        <f t="shared" si="1"/>
        <v>0</v>
      </c>
    </row>
    <row r="38" spans="1:7" x14ac:dyDescent="0.35">
      <c r="A38" s="1" t="s">
        <v>38</v>
      </c>
      <c r="B38">
        <v>710837.86740994325</v>
      </c>
      <c r="C38">
        <v>366501.16693714459</v>
      </c>
      <c r="D38">
        <f t="shared" si="0"/>
        <v>1</v>
      </c>
      <c r="E38">
        <v>587046.27211317094</v>
      </c>
      <c r="F38">
        <v>555515.233093897</v>
      </c>
      <c r="G38">
        <f t="shared" si="1"/>
        <v>0</v>
      </c>
    </row>
    <row r="39" spans="1:7" x14ac:dyDescent="0.35">
      <c r="A39" s="1" t="s">
        <v>39</v>
      </c>
      <c r="B39">
        <v>599879.29986772477</v>
      </c>
      <c r="C39">
        <v>256037.232486041</v>
      </c>
      <c r="D39">
        <f t="shared" si="0"/>
        <v>1</v>
      </c>
      <c r="E39">
        <v>435826.6535219542</v>
      </c>
      <c r="F39">
        <v>509203.85336763982</v>
      </c>
      <c r="G39">
        <f t="shared" si="1"/>
        <v>1</v>
      </c>
    </row>
    <row r="40" spans="1:7" x14ac:dyDescent="0.35">
      <c r="A40" s="1" t="s">
        <v>40</v>
      </c>
      <c r="B40">
        <v>854352.09236598224</v>
      </c>
      <c r="C40">
        <v>46265.573426137569</v>
      </c>
      <c r="D40">
        <f t="shared" si="0"/>
        <v>1</v>
      </c>
      <c r="E40">
        <v>43148.038143674508</v>
      </c>
      <c r="F40">
        <v>599725.44568872149</v>
      </c>
      <c r="G40">
        <f t="shared" si="1"/>
        <v>1</v>
      </c>
    </row>
    <row r="41" spans="1:7" x14ac:dyDescent="0.35">
      <c r="A41" s="1" t="s">
        <v>41</v>
      </c>
      <c r="B41">
        <v>757079.62881615234</v>
      </c>
      <c r="C41">
        <v>397154.43260989268</v>
      </c>
      <c r="D41">
        <f t="shared" si="0"/>
        <v>1</v>
      </c>
      <c r="E41">
        <v>671515.69197816437</v>
      </c>
      <c r="F41">
        <v>523310.35417500749</v>
      </c>
      <c r="G41">
        <f t="shared" si="1"/>
        <v>0</v>
      </c>
    </row>
    <row r="42" spans="1:7" x14ac:dyDescent="0.35">
      <c r="A42" s="1" t="s">
        <v>42</v>
      </c>
      <c r="B42">
        <v>237767.27646909829</v>
      </c>
      <c r="C42">
        <v>37167.827529589449</v>
      </c>
      <c r="D42">
        <f t="shared" si="0"/>
        <v>1</v>
      </c>
      <c r="E42">
        <v>31242.179278303389</v>
      </c>
      <c r="F42">
        <v>165800.52248319489</v>
      </c>
      <c r="G42">
        <f t="shared" si="1"/>
        <v>1</v>
      </c>
    </row>
    <row r="43" spans="1:7" x14ac:dyDescent="0.35">
      <c r="A43" s="1" t="s">
        <v>43</v>
      </c>
      <c r="B43">
        <v>504058.50451371312</v>
      </c>
      <c r="C43">
        <v>378052.81176052312</v>
      </c>
      <c r="D43">
        <f t="shared" si="0"/>
        <v>1</v>
      </c>
      <c r="E43">
        <v>600718.03838061914</v>
      </c>
      <c r="F43">
        <v>444934.19553917262</v>
      </c>
      <c r="G43">
        <f t="shared" si="1"/>
        <v>0</v>
      </c>
    </row>
    <row r="44" spans="1:7" x14ac:dyDescent="0.35">
      <c r="A44" s="1" t="s">
        <v>44</v>
      </c>
      <c r="B44">
        <v>627256.95262803684</v>
      </c>
      <c r="C44">
        <v>403828.52605350898</v>
      </c>
      <c r="D44">
        <f t="shared" si="0"/>
        <v>1</v>
      </c>
      <c r="E44">
        <v>657582.45773059851</v>
      </c>
      <c r="F44">
        <v>496397.86704126699</v>
      </c>
      <c r="G44">
        <f t="shared" si="1"/>
        <v>0</v>
      </c>
    </row>
    <row r="45" spans="1:7" x14ac:dyDescent="0.35">
      <c r="A45" s="1" t="s">
        <v>45</v>
      </c>
      <c r="B45">
        <v>710221.89218131383</v>
      </c>
      <c r="C45">
        <v>480230.26235236583</v>
      </c>
      <c r="D45">
        <f t="shared" si="0"/>
        <v>1</v>
      </c>
      <c r="E45">
        <v>659153.08503285528</v>
      </c>
      <c r="F45">
        <v>474865.82180275919</v>
      </c>
      <c r="G45">
        <f t="shared" si="1"/>
        <v>0</v>
      </c>
    </row>
    <row r="46" spans="1:7" x14ac:dyDescent="0.35">
      <c r="A46" s="1" t="s">
        <v>46</v>
      </c>
      <c r="B46">
        <v>415733.06078826159</v>
      </c>
      <c r="C46">
        <v>399691.47670157521</v>
      </c>
      <c r="D46">
        <f t="shared" si="0"/>
        <v>1</v>
      </c>
      <c r="E46">
        <v>477751.4155111718</v>
      </c>
      <c r="F46">
        <v>340680.27741643781</v>
      </c>
      <c r="G46">
        <f t="shared" si="1"/>
        <v>0</v>
      </c>
    </row>
    <row r="47" spans="1:7" x14ac:dyDescent="0.35">
      <c r="A47" s="1" t="s">
        <v>47</v>
      </c>
      <c r="B47">
        <v>624843.32546780235</v>
      </c>
      <c r="C47">
        <v>508696.46650888951</v>
      </c>
      <c r="D47">
        <f t="shared" si="0"/>
        <v>1</v>
      </c>
      <c r="E47">
        <v>805307.29218222725</v>
      </c>
      <c r="F47">
        <v>484635.96528663399</v>
      </c>
      <c r="G47">
        <f t="shared" si="1"/>
        <v>0</v>
      </c>
    </row>
    <row r="48" spans="1:7" x14ac:dyDescent="0.35">
      <c r="A48" s="1" t="s">
        <v>48</v>
      </c>
      <c r="B48">
        <v>551040.07472789113</v>
      </c>
      <c r="C48">
        <v>39791.341422463913</v>
      </c>
      <c r="D48">
        <f t="shared" si="0"/>
        <v>1</v>
      </c>
      <c r="E48">
        <v>28757.673170924001</v>
      </c>
      <c r="F48">
        <v>246326.4849298762</v>
      </c>
      <c r="G48">
        <f t="shared" si="1"/>
        <v>1</v>
      </c>
    </row>
    <row r="49" spans="1:7" x14ac:dyDescent="0.35">
      <c r="A49" s="1" t="s">
        <v>49</v>
      </c>
      <c r="B49">
        <v>917255.18840867805</v>
      </c>
      <c r="C49">
        <v>470960.8488303537</v>
      </c>
      <c r="D49">
        <f t="shared" si="0"/>
        <v>1</v>
      </c>
      <c r="E49">
        <v>869889.01382619829</v>
      </c>
      <c r="F49">
        <v>776122.63961331092</v>
      </c>
      <c r="G49">
        <f t="shared" si="1"/>
        <v>0</v>
      </c>
    </row>
    <row r="50" spans="1:7" x14ac:dyDescent="0.35">
      <c r="A50" s="1" t="s">
        <v>50</v>
      </c>
      <c r="B50">
        <v>1271605.9405260989</v>
      </c>
      <c r="C50">
        <v>747411.21967732161</v>
      </c>
      <c r="D50">
        <f t="shared" si="0"/>
        <v>1</v>
      </c>
      <c r="E50">
        <v>1275820.837659392</v>
      </c>
      <c r="F50">
        <v>1111253.906387992</v>
      </c>
      <c r="G50">
        <f t="shared" si="1"/>
        <v>0</v>
      </c>
    </row>
    <row r="51" spans="1:7" x14ac:dyDescent="0.35">
      <c r="A51" s="1" t="s">
        <v>51</v>
      </c>
      <c r="B51">
        <v>437582.46777699591</v>
      </c>
      <c r="C51">
        <v>363188.54014175013</v>
      </c>
      <c r="D51">
        <f t="shared" si="0"/>
        <v>1</v>
      </c>
      <c r="E51">
        <v>410993.04085985851</v>
      </c>
      <c r="F51">
        <v>259312.74108382841</v>
      </c>
      <c r="G51">
        <f t="shared" si="1"/>
        <v>0</v>
      </c>
    </row>
    <row r="52" spans="1:7" x14ac:dyDescent="0.35">
      <c r="A52" s="1" t="s">
        <v>52</v>
      </c>
      <c r="B52">
        <v>418076.12766108557</v>
      </c>
      <c r="C52">
        <v>17896.456967849848</v>
      </c>
      <c r="D52">
        <f t="shared" si="0"/>
        <v>1</v>
      </c>
      <c r="E52">
        <v>12221.03996838129</v>
      </c>
      <c r="F52">
        <v>271620.69502727868</v>
      </c>
      <c r="G52">
        <f t="shared" si="1"/>
        <v>1</v>
      </c>
    </row>
    <row r="53" spans="1:7" x14ac:dyDescent="0.35">
      <c r="A53" s="1" t="s">
        <v>53</v>
      </c>
      <c r="B53">
        <v>465291.87190166651</v>
      </c>
      <c r="C53">
        <v>442730.84267150727</v>
      </c>
      <c r="D53">
        <f t="shared" si="0"/>
        <v>1</v>
      </c>
      <c r="E53">
        <v>492954.55940440868</v>
      </c>
      <c r="F53">
        <v>338819.76714683778</v>
      </c>
      <c r="G53">
        <f t="shared" si="1"/>
        <v>0</v>
      </c>
    </row>
    <row r="54" spans="1:7" x14ac:dyDescent="0.35">
      <c r="A54" s="1" t="s">
        <v>54</v>
      </c>
      <c r="B54">
        <v>639852.25533092674</v>
      </c>
      <c r="C54">
        <v>431154.73430322309</v>
      </c>
      <c r="D54">
        <f t="shared" si="0"/>
        <v>1</v>
      </c>
      <c r="E54">
        <v>402335.61672320962</v>
      </c>
      <c r="F54">
        <v>298502.83403276751</v>
      </c>
      <c r="G54">
        <f t="shared" si="1"/>
        <v>0</v>
      </c>
    </row>
    <row r="55" spans="1:7" x14ac:dyDescent="0.35">
      <c r="A55" s="1" t="s">
        <v>55</v>
      </c>
      <c r="B55">
        <v>432290.14205205807</v>
      </c>
      <c r="C55">
        <v>574297.07403060189</v>
      </c>
      <c r="D55">
        <f t="shared" si="0"/>
        <v>0</v>
      </c>
      <c r="E55">
        <v>676533.15482935787</v>
      </c>
      <c r="F55">
        <v>271638.31612130109</v>
      </c>
      <c r="G55">
        <f t="shared" si="1"/>
        <v>0</v>
      </c>
    </row>
    <row r="56" spans="1:7" x14ac:dyDescent="0.35">
      <c r="A56" s="1" t="s">
        <v>56</v>
      </c>
      <c r="B56">
        <v>735780.97792146285</v>
      </c>
      <c r="C56">
        <v>405090.76013021782</v>
      </c>
      <c r="D56">
        <f t="shared" si="0"/>
        <v>1</v>
      </c>
      <c r="E56">
        <v>646521.16340673575</v>
      </c>
      <c r="F56">
        <v>444223.25991637219</v>
      </c>
      <c r="G56">
        <f t="shared" si="1"/>
        <v>0</v>
      </c>
    </row>
    <row r="57" spans="1:7" x14ac:dyDescent="0.35">
      <c r="A57" s="1" t="s">
        <v>57</v>
      </c>
      <c r="B57">
        <v>655649.3964846672</v>
      </c>
      <c r="C57">
        <v>388248.17884507001</v>
      </c>
      <c r="D57">
        <f t="shared" si="0"/>
        <v>1</v>
      </c>
      <c r="E57">
        <v>630546.71944825188</v>
      </c>
      <c r="F57">
        <v>445518.85990344029</v>
      </c>
      <c r="G57">
        <f t="shared" si="1"/>
        <v>0</v>
      </c>
    </row>
    <row r="58" spans="1:7" x14ac:dyDescent="0.35">
      <c r="A58" s="1" t="s">
        <v>58</v>
      </c>
      <c r="B58">
        <v>225037.8741256003</v>
      </c>
      <c r="C58">
        <v>181568.47105315709</v>
      </c>
      <c r="D58">
        <f t="shared" si="0"/>
        <v>1</v>
      </c>
      <c r="E58">
        <v>115091.174799484</v>
      </c>
      <c r="F58">
        <v>131656.2973656418</v>
      </c>
      <c r="G58">
        <f t="shared" si="1"/>
        <v>1</v>
      </c>
    </row>
    <row r="59" spans="1:7" x14ac:dyDescent="0.35">
      <c r="A59" s="1" t="s">
        <v>59</v>
      </c>
      <c r="B59">
        <v>594554.18436981761</v>
      </c>
      <c r="C59">
        <v>15868.04901138471</v>
      </c>
      <c r="D59">
        <f t="shared" si="0"/>
        <v>1</v>
      </c>
      <c r="E59">
        <v>12989.949357097679</v>
      </c>
      <c r="F59">
        <v>331325.94868844148</v>
      </c>
      <c r="G59">
        <f t="shared" si="1"/>
        <v>1</v>
      </c>
    </row>
    <row r="60" spans="1:7" x14ac:dyDescent="0.35">
      <c r="A60" s="1" t="s">
        <v>60</v>
      </c>
      <c r="B60">
        <v>39064.275000000001</v>
      </c>
      <c r="C60">
        <v>491.95309408853262</v>
      </c>
      <c r="D60">
        <f t="shared" si="0"/>
        <v>1</v>
      </c>
      <c r="E60">
        <v>7527.6181158671079</v>
      </c>
      <c r="F60">
        <v>210767.08592229421</v>
      </c>
      <c r="G60">
        <f t="shared" si="1"/>
        <v>1</v>
      </c>
    </row>
    <row r="61" spans="1:7" x14ac:dyDescent="0.35">
      <c r="A61" s="1" t="s">
        <v>61</v>
      </c>
      <c r="B61">
        <v>418836.73540239892</v>
      </c>
      <c r="C61">
        <v>449555.26505951252</v>
      </c>
      <c r="D61">
        <f t="shared" si="0"/>
        <v>0</v>
      </c>
      <c r="E61">
        <v>430349.68795012432</v>
      </c>
      <c r="F61">
        <v>503030.18692133739</v>
      </c>
      <c r="G61">
        <f t="shared" si="1"/>
        <v>1</v>
      </c>
    </row>
    <row r="62" spans="1:7" x14ac:dyDescent="0.35">
      <c r="A62" s="1" t="s">
        <v>62</v>
      </c>
      <c r="B62">
        <v>765672.26718769735</v>
      </c>
      <c r="C62">
        <v>348012.08167128632</v>
      </c>
      <c r="D62">
        <f t="shared" si="0"/>
        <v>1</v>
      </c>
      <c r="E62">
        <v>585800.98163545795</v>
      </c>
      <c r="F62">
        <v>510748.12715358922</v>
      </c>
      <c r="G62">
        <f t="shared" si="1"/>
        <v>0</v>
      </c>
    </row>
    <row r="63" spans="1:7" x14ac:dyDescent="0.35">
      <c r="A63" s="1" t="s">
        <v>63</v>
      </c>
      <c r="B63">
        <v>499414.60239830759</v>
      </c>
      <c r="C63">
        <v>583448.28043155419</v>
      </c>
      <c r="D63">
        <f t="shared" si="0"/>
        <v>0</v>
      </c>
      <c r="E63">
        <v>748546.53656751988</v>
      </c>
      <c r="F63">
        <v>415251.76114745543</v>
      </c>
      <c r="G63">
        <f t="shared" si="1"/>
        <v>0</v>
      </c>
    </row>
    <row r="64" spans="1:7" x14ac:dyDescent="0.35">
      <c r="A64" s="1" t="s">
        <v>64</v>
      </c>
      <c r="B64">
        <v>759957.93636792921</v>
      </c>
      <c r="C64">
        <v>10266.004335836429</v>
      </c>
      <c r="D64">
        <f t="shared" si="0"/>
        <v>1</v>
      </c>
      <c r="E64">
        <v>7996.4958547008546</v>
      </c>
      <c r="F64">
        <v>263563.67105699418</v>
      </c>
      <c r="G64">
        <f t="shared" si="1"/>
        <v>1</v>
      </c>
    </row>
    <row r="65" spans="1:7" x14ac:dyDescent="0.35">
      <c r="A65" s="1" t="s">
        <v>65</v>
      </c>
      <c r="B65">
        <v>680049.64137921017</v>
      </c>
      <c r="C65">
        <v>548239.57450069708</v>
      </c>
      <c r="D65">
        <f t="shared" si="0"/>
        <v>1</v>
      </c>
      <c r="E65">
        <v>811027.62813029566</v>
      </c>
      <c r="F65">
        <v>430956.93768538191</v>
      </c>
      <c r="G65">
        <f t="shared" si="1"/>
        <v>0</v>
      </c>
    </row>
    <row r="66" spans="1:7" x14ac:dyDescent="0.35">
      <c r="A66" s="1" t="s">
        <v>66</v>
      </c>
      <c r="B66">
        <v>676938.08521271357</v>
      </c>
      <c r="C66">
        <v>325303.68902104319</v>
      </c>
      <c r="D66">
        <f t="shared" si="0"/>
        <v>1</v>
      </c>
      <c r="E66">
        <v>474253.58440444781</v>
      </c>
      <c r="F66">
        <v>516697.90749665699</v>
      </c>
      <c r="G66">
        <f t="shared" si="1"/>
        <v>1</v>
      </c>
    </row>
    <row r="67" spans="1:7" x14ac:dyDescent="0.35">
      <c r="A67" s="1" t="s">
        <v>67</v>
      </c>
      <c r="B67">
        <v>954651.31494969828</v>
      </c>
      <c r="C67">
        <v>2396.1791791578698</v>
      </c>
      <c r="D67">
        <f t="shared" ref="D67:D101" si="2">IF(C67&lt;B67,1,0)</f>
        <v>1</v>
      </c>
      <c r="E67">
        <v>337.87581699346401</v>
      </c>
      <c r="F67">
        <v>19713.845302345981</v>
      </c>
      <c r="G67">
        <f t="shared" ref="G67:G101" si="3">IF(F67&gt;E67,1,0)</f>
        <v>1</v>
      </c>
    </row>
    <row r="68" spans="1:7" x14ac:dyDescent="0.35">
      <c r="A68" s="1" t="s">
        <v>68</v>
      </c>
      <c r="B68">
        <v>166573.49869902761</v>
      </c>
      <c r="C68">
        <v>456742.97593609802</v>
      </c>
      <c r="D68">
        <f t="shared" si="2"/>
        <v>0</v>
      </c>
      <c r="E68">
        <v>423401.96578616358</v>
      </c>
      <c r="F68">
        <v>52147.063410513343</v>
      </c>
      <c r="G68">
        <f t="shared" si="3"/>
        <v>0</v>
      </c>
    </row>
    <row r="69" spans="1:7" x14ac:dyDescent="0.35">
      <c r="A69" s="1" t="s">
        <v>69</v>
      </c>
      <c r="B69">
        <v>711698.8735317461</v>
      </c>
      <c r="C69">
        <v>45462.6177484121</v>
      </c>
      <c r="D69">
        <f t="shared" si="2"/>
        <v>1</v>
      </c>
      <c r="E69">
        <v>33339.828882575763</v>
      </c>
      <c r="F69">
        <v>313852.10599328572</v>
      </c>
      <c r="G69">
        <f t="shared" si="3"/>
        <v>1</v>
      </c>
    </row>
    <row r="70" spans="1:7" x14ac:dyDescent="0.35">
      <c r="A70" s="1" t="s">
        <v>70</v>
      </c>
      <c r="B70">
        <v>500947.51252653933</v>
      </c>
      <c r="C70">
        <v>334363.74522445229</v>
      </c>
      <c r="D70">
        <f t="shared" si="2"/>
        <v>1</v>
      </c>
      <c r="E70">
        <v>569915.44833178387</v>
      </c>
      <c r="F70">
        <v>310820.59201703442</v>
      </c>
      <c r="G70">
        <f t="shared" si="3"/>
        <v>0</v>
      </c>
    </row>
    <row r="71" spans="1:7" x14ac:dyDescent="0.35">
      <c r="A71" s="1" t="s">
        <v>71</v>
      </c>
      <c r="B71">
        <v>576242.26662625885</v>
      </c>
      <c r="C71">
        <v>14951.71796099705</v>
      </c>
      <c r="D71">
        <f t="shared" si="2"/>
        <v>1</v>
      </c>
      <c r="E71">
        <v>15258.421730055659</v>
      </c>
      <c r="F71">
        <v>321505.88389826432</v>
      </c>
      <c r="G71">
        <f t="shared" si="3"/>
        <v>1</v>
      </c>
    </row>
    <row r="72" spans="1:7" x14ac:dyDescent="0.35">
      <c r="A72" s="1" t="s">
        <v>72</v>
      </c>
      <c r="B72">
        <v>519755.62329628278</v>
      </c>
      <c r="C72">
        <v>345210.40051449789</v>
      </c>
      <c r="D72">
        <f t="shared" si="2"/>
        <v>1</v>
      </c>
      <c r="E72">
        <v>349584.67227375798</v>
      </c>
      <c r="F72">
        <v>530338.84341130592</v>
      </c>
      <c r="G72">
        <f t="shared" si="3"/>
        <v>1</v>
      </c>
    </row>
    <row r="73" spans="1:7" x14ac:dyDescent="0.35">
      <c r="A73" s="1" t="s">
        <v>73</v>
      </c>
      <c r="B73">
        <v>464768.76667335618</v>
      </c>
      <c r="C73">
        <v>12326.973044796199</v>
      </c>
      <c r="D73">
        <f t="shared" si="2"/>
        <v>1</v>
      </c>
      <c r="E73">
        <v>10702.188037766829</v>
      </c>
      <c r="F73">
        <v>222319.22627047499</v>
      </c>
      <c r="G73">
        <f t="shared" si="3"/>
        <v>1</v>
      </c>
    </row>
    <row r="74" spans="1:7" x14ac:dyDescent="0.35">
      <c r="A74" s="1" t="s">
        <v>74</v>
      </c>
      <c r="B74">
        <v>474983.14254804462</v>
      </c>
      <c r="C74">
        <v>29813.6608019909</v>
      </c>
      <c r="D74">
        <f t="shared" si="2"/>
        <v>1</v>
      </c>
      <c r="E74">
        <v>20278.548370370369</v>
      </c>
      <c r="F74">
        <v>381058.68680454552</v>
      </c>
      <c r="G74">
        <f t="shared" si="3"/>
        <v>1</v>
      </c>
    </row>
    <row r="75" spans="1:7" x14ac:dyDescent="0.35">
      <c r="A75" s="1" t="s">
        <v>75</v>
      </c>
      <c r="B75">
        <v>285273.78882351151</v>
      </c>
      <c r="C75">
        <v>418887.28933775041</v>
      </c>
      <c r="D75">
        <f t="shared" si="2"/>
        <v>0</v>
      </c>
      <c r="E75">
        <v>458560.25127705629</v>
      </c>
      <c r="F75">
        <v>291164.92108391499</v>
      </c>
      <c r="G75">
        <f t="shared" si="3"/>
        <v>0</v>
      </c>
    </row>
    <row r="76" spans="1:7" x14ac:dyDescent="0.35">
      <c r="A76" s="1" t="s">
        <v>76</v>
      </c>
      <c r="B76">
        <v>644927.95876278891</v>
      </c>
      <c r="C76">
        <v>489985.19998446479</v>
      </c>
      <c r="D76">
        <f t="shared" si="2"/>
        <v>1</v>
      </c>
      <c r="E76">
        <v>715362.20764703723</v>
      </c>
      <c r="F76">
        <v>420226.40261432691</v>
      </c>
      <c r="G76">
        <f t="shared" si="3"/>
        <v>0</v>
      </c>
    </row>
    <row r="77" spans="1:7" x14ac:dyDescent="0.35">
      <c r="A77" s="1" t="s">
        <v>77</v>
      </c>
      <c r="B77">
        <v>282815.47022419871</v>
      </c>
      <c r="C77">
        <v>552.42836639067218</v>
      </c>
      <c r="D77">
        <f t="shared" si="2"/>
        <v>1</v>
      </c>
      <c r="E77">
        <v>24.777777777777779</v>
      </c>
      <c r="F77">
        <v>6889.8903738090694</v>
      </c>
      <c r="G77">
        <f t="shared" si="3"/>
        <v>1</v>
      </c>
    </row>
    <row r="78" spans="1:7" x14ac:dyDescent="0.35">
      <c r="A78" s="1" t="s">
        <v>78</v>
      </c>
      <c r="B78">
        <v>1078847.0606707509</v>
      </c>
      <c r="C78">
        <v>629599.98089557118</v>
      </c>
      <c r="D78">
        <f t="shared" si="2"/>
        <v>1</v>
      </c>
      <c r="E78">
        <v>813946.41153764888</v>
      </c>
      <c r="F78">
        <v>728746.59521616017</v>
      </c>
      <c r="G78">
        <f t="shared" si="3"/>
        <v>0</v>
      </c>
    </row>
    <row r="79" spans="1:7" x14ac:dyDescent="0.35">
      <c r="A79" s="1" t="s">
        <v>79</v>
      </c>
      <c r="B79">
        <v>100251.9047119851</v>
      </c>
      <c r="C79">
        <v>313935.90354457073</v>
      </c>
      <c r="D79">
        <f t="shared" si="2"/>
        <v>0</v>
      </c>
      <c r="E79">
        <v>507530.99272209761</v>
      </c>
      <c r="F79">
        <v>163146.28563504189</v>
      </c>
      <c r="G79">
        <f t="shared" si="3"/>
        <v>0</v>
      </c>
    </row>
    <row r="80" spans="1:7" x14ac:dyDescent="0.35">
      <c r="A80" s="1" t="s">
        <v>80</v>
      </c>
      <c r="B80">
        <v>584857.73038102896</v>
      </c>
      <c r="C80">
        <v>633549.19063355098</v>
      </c>
      <c r="D80">
        <f t="shared" si="2"/>
        <v>0</v>
      </c>
      <c r="E80">
        <v>798756.36774071376</v>
      </c>
      <c r="F80">
        <v>513990.96082934312</v>
      </c>
      <c r="G80">
        <f t="shared" si="3"/>
        <v>0</v>
      </c>
    </row>
    <row r="81" spans="1:7" x14ac:dyDescent="0.35">
      <c r="A81" s="1" t="s">
        <v>81</v>
      </c>
      <c r="B81">
        <v>711787.88502713828</v>
      </c>
      <c r="C81">
        <v>875843.03285731771</v>
      </c>
      <c r="D81">
        <f t="shared" si="2"/>
        <v>0</v>
      </c>
      <c r="E81">
        <v>962995.43493053224</v>
      </c>
      <c r="F81">
        <v>572054.89867161354</v>
      </c>
      <c r="G81">
        <f t="shared" si="3"/>
        <v>0</v>
      </c>
    </row>
    <row r="82" spans="1:7" x14ac:dyDescent="0.35">
      <c r="A82" s="1" t="s">
        <v>82</v>
      </c>
      <c r="B82">
        <v>924699.11983378371</v>
      </c>
      <c r="C82">
        <v>15733.459538615711</v>
      </c>
      <c r="D82">
        <f t="shared" si="2"/>
        <v>1</v>
      </c>
      <c r="E82">
        <v>16149.324017089481</v>
      </c>
      <c r="F82">
        <v>495292.52069955983</v>
      </c>
      <c r="G82">
        <f t="shared" si="3"/>
        <v>1</v>
      </c>
    </row>
    <row r="83" spans="1:7" x14ac:dyDescent="0.35">
      <c r="A83" s="1" t="s">
        <v>83</v>
      </c>
      <c r="B83">
        <v>560236.54022268066</v>
      </c>
      <c r="C83">
        <v>484096.35110767791</v>
      </c>
      <c r="D83">
        <f t="shared" si="2"/>
        <v>1</v>
      </c>
      <c r="E83">
        <v>745552.090244791</v>
      </c>
      <c r="F83">
        <v>344848.68955635792</v>
      </c>
      <c r="G83">
        <f t="shared" si="3"/>
        <v>0</v>
      </c>
    </row>
    <row r="84" spans="1:7" x14ac:dyDescent="0.35">
      <c r="A84" s="1" t="s">
        <v>84</v>
      </c>
      <c r="B84">
        <v>493258.86089743592</v>
      </c>
      <c r="C84">
        <v>357118.44930668431</v>
      </c>
      <c r="D84">
        <f t="shared" si="2"/>
        <v>1</v>
      </c>
      <c r="E84">
        <v>444797.38443963451</v>
      </c>
      <c r="F84">
        <v>418613.80975146429</v>
      </c>
      <c r="G84">
        <f t="shared" si="3"/>
        <v>0</v>
      </c>
    </row>
    <row r="85" spans="1:7" x14ac:dyDescent="0.35">
      <c r="A85" s="1" t="s">
        <v>85</v>
      </c>
      <c r="B85">
        <v>522522.71276634338</v>
      </c>
      <c r="C85">
        <v>181809.88377319151</v>
      </c>
      <c r="D85">
        <f t="shared" si="2"/>
        <v>1</v>
      </c>
      <c r="E85">
        <v>225887.5821512705</v>
      </c>
      <c r="F85">
        <v>345131.86180830188</v>
      </c>
      <c r="G85">
        <f t="shared" si="3"/>
        <v>1</v>
      </c>
    </row>
    <row r="86" spans="1:7" x14ac:dyDescent="0.35">
      <c r="A86" s="1" t="s">
        <v>86</v>
      </c>
      <c r="B86">
        <v>1219069.631922198</v>
      </c>
      <c r="C86">
        <v>2108.9511428016581</v>
      </c>
      <c r="D86">
        <f t="shared" si="2"/>
        <v>1</v>
      </c>
      <c r="E86">
        <v>328.53301886792451</v>
      </c>
      <c r="F86">
        <v>29007.866863798688</v>
      </c>
      <c r="G86">
        <f t="shared" si="3"/>
        <v>1</v>
      </c>
    </row>
    <row r="87" spans="1:7" x14ac:dyDescent="0.35">
      <c r="A87" s="1" t="s">
        <v>87</v>
      </c>
      <c r="B87">
        <v>1199696.0382601849</v>
      </c>
      <c r="C87">
        <v>473754.64390828362</v>
      </c>
      <c r="D87">
        <f t="shared" si="2"/>
        <v>1</v>
      </c>
      <c r="E87">
        <v>613117.63377192989</v>
      </c>
      <c r="F87">
        <v>834806.7807794126</v>
      </c>
      <c r="G87">
        <f t="shared" si="3"/>
        <v>1</v>
      </c>
    </row>
    <row r="88" spans="1:7" x14ac:dyDescent="0.35">
      <c r="A88" s="1" t="s">
        <v>88</v>
      </c>
      <c r="B88">
        <v>588504.98741933284</v>
      </c>
      <c r="C88">
        <v>53096.84016632117</v>
      </c>
      <c r="D88">
        <f t="shared" si="2"/>
        <v>1</v>
      </c>
      <c r="E88">
        <v>39812.765502909388</v>
      </c>
      <c r="F88">
        <v>244793.47859703409</v>
      </c>
      <c r="G88">
        <f t="shared" si="3"/>
        <v>1</v>
      </c>
    </row>
    <row r="89" spans="1:7" x14ac:dyDescent="0.35">
      <c r="A89" s="1" t="s">
        <v>89</v>
      </c>
      <c r="B89">
        <v>970408.25841153611</v>
      </c>
      <c r="C89">
        <v>2896.716622677975</v>
      </c>
      <c r="D89">
        <f t="shared" si="2"/>
        <v>1</v>
      </c>
      <c r="E89">
        <v>629.71630094043883</v>
      </c>
      <c r="F89">
        <v>92222.300347312223</v>
      </c>
      <c r="G89">
        <f t="shared" si="3"/>
        <v>1</v>
      </c>
    </row>
    <row r="90" spans="1:7" x14ac:dyDescent="0.35">
      <c r="A90" s="1" t="s">
        <v>90</v>
      </c>
      <c r="B90">
        <v>418171.0825342614</v>
      </c>
      <c r="C90">
        <v>214642.22974565139</v>
      </c>
      <c r="D90">
        <f t="shared" si="2"/>
        <v>1</v>
      </c>
      <c r="E90">
        <v>167883.07619047619</v>
      </c>
      <c r="F90">
        <v>249040.3318953136</v>
      </c>
      <c r="G90">
        <f t="shared" si="3"/>
        <v>1</v>
      </c>
    </row>
    <row r="91" spans="1:7" x14ac:dyDescent="0.35">
      <c r="A91" s="1" t="s">
        <v>91</v>
      </c>
      <c r="B91">
        <v>585456.50284570293</v>
      </c>
      <c r="C91">
        <v>1948.155028860582</v>
      </c>
      <c r="D91">
        <f t="shared" si="2"/>
        <v>1</v>
      </c>
      <c r="E91">
        <v>147.27941176470591</v>
      </c>
      <c r="F91">
        <v>46118.881135518903</v>
      </c>
      <c r="G91">
        <f t="shared" si="3"/>
        <v>1</v>
      </c>
    </row>
    <row r="92" spans="1:7" x14ac:dyDescent="0.35">
      <c r="A92" s="1" t="s">
        <v>92</v>
      </c>
      <c r="B92">
        <v>822176.95521444606</v>
      </c>
      <c r="C92">
        <v>316543.376979016</v>
      </c>
      <c r="D92">
        <f t="shared" si="2"/>
        <v>1</v>
      </c>
      <c r="E92">
        <v>440054.56198570092</v>
      </c>
      <c r="F92">
        <v>572692.83110740082</v>
      </c>
      <c r="G92">
        <f t="shared" si="3"/>
        <v>1</v>
      </c>
    </row>
    <row r="93" spans="1:7" x14ac:dyDescent="0.35">
      <c r="A93" s="1" t="s">
        <v>93</v>
      </c>
      <c r="B93">
        <v>513298.32920157257</v>
      </c>
      <c r="C93">
        <v>3862.4627331951428</v>
      </c>
      <c r="D93">
        <f t="shared" si="2"/>
        <v>1</v>
      </c>
      <c r="E93">
        <v>982.17944250871074</v>
      </c>
      <c r="F93">
        <v>75712.71354148502</v>
      </c>
      <c r="G93">
        <f t="shared" si="3"/>
        <v>1</v>
      </c>
    </row>
    <row r="94" spans="1:7" x14ac:dyDescent="0.35">
      <c r="A94" s="1" t="s">
        <v>94</v>
      </c>
      <c r="B94">
        <v>708684.53633638308</v>
      </c>
      <c r="C94">
        <v>515147.54157276318</v>
      </c>
      <c r="D94">
        <f t="shared" si="2"/>
        <v>1</v>
      </c>
      <c r="E94">
        <v>668338.95353426016</v>
      </c>
      <c r="F94">
        <v>374394.99045160931</v>
      </c>
      <c r="G94">
        <f t="shared" si="3"/>
        <v>0</v>
      </c>
    </row>
    <row r="95" spans="1:7" x14ac:dyDescent="0.35">
      <c r="A95" s="1" t="s">
        <v>95</v>
      </c>
      <c r="B95">
        <v>711021.020435001</v>
      </c>
      <c r="C95">
        <v>531945.34191963077</v>
      </c>
      <c r="D95">
        <f t="shared" si="2"/>
        <v>1</v>
      </c>
      <c r="E95">
        <v>685533.07669465616</v>
      </c>
      <c r="F95">
        <v>415836.54392785241</v>
      </c>
      <c r="G95">
        <f t="shared" si="3"/>
        <v>0</v>
      </c>
    </row>
    <row r="96" spans="1:7" x14ac:dyDescent="0.35">
      <c r="A96" s="1" t="s">
        <v>96</v>
      </c>
      <c r="B96">
        <v>897412.97742741555</v>
      </c>
      <c r="C96">
        <v>504155.37122427049</v>
      </c>
      <c r="D96">
        <f t="shared" si="2"/>
        <v>1</v>
      </c>
      <c r="E96">
        <v>812852.31782743044</v>
      </c>
      <c r="F96">
        <v>674268.09170665103</v>
      </c>
      <c r="G96">
        <f t="shared" si="3"/>
        <v>0</v>
      </c>
    </row>
    <row r="97" spans="1:7" x14ac:dyDescent="0.35">
      <c r="A97" s="1" t="s">
        <v>97</v>
      </c>
      <c r="B97">
        <v>670931.72636621236</v>
      </c>
      <c r="C97">
        <v>40463.76769116518</v>
      </c>
      <c r="D97">
        <f t="shared" si="2"/>
        <v>1</v>
      </c>
      <c r="E97">
        <v>32032.75272376799</v>
      </c>
      <c r="F97">
        <v>378577.45236339257</v>
      </c>
      <c r="G97">
        <f t="shared" si="3"/>
        <v>1</v>
      </c>
    </row>
    <row r="98" spans="1:7" x14ac:dyDescent="0.35">
      <c r="A98" s="1" t="s">
        <v>98</v>
      </c>
      <c r="B98">
        <v>568461.58778602351</v>
      </c>
      <c r="C98">
        <v>344449.65053754399</v>
      </c>
      <c r="D98">
        <f t="shared" si="2"/>
        <v>1</v>
      </c>
      <c r="E98">
        <v>452428.84681249189</v>
      </c>
      <c r="F98">
        <v>376985.34564895747</v>
      </c>
      <c r="G98">
        <f t="shared" si="3"/>
        <v>0</v>
      </c>
    </row>
    <row r="99" spans="1:7" x14ac:dyDescent="0.35">
      <c r="A99" s="1" t="s">
        <v>99</v>
      </c>
      <c r="B99">
        <v>423979.01003925892</v>
      </c>
      <c r="C99">
        <v>125510.4684702404</v>
      </c>
      <c r="D99">
        <f t="shared" si="2"/>
        <v>1</v>
      </c>
      <c r="E99">
        <v>136553.40087319509</v>
      </c>
      <c r="F99">
        <v>372509.77910759638</v>
      </c>
      <c r="G99">
        <f t="shared" si="3"/>
        <v>1</v>
      </c>
    </row>
    <row r="100" spans="1:7" x14ac:dyDescent="0.35">
      <c r="A100" s="1" t="s">
        <v>100</v>
      </c>
      <c r="B100">
        <v>133324.98538803909</v>
      </c>
      <c r="C100">
        <v>646337.16765163257</v>
      </c>
      <c r="D100">
        <f t="shared" si="2"/>
        <v>0</v>
      </c>
      <c r="E100">
        <v>823754.52702669078</v>
      </c>
      <c r="F100">
        <v>141955.08994414579</v>
      </c>
      <c r="G100">
        <f t="shared" si="3"/>
        <v>0</v>
      </c>
    </row>
    <row r="101" spans="1:7" x14ac:dyDescent="0.35">
      <c r="A101" s="1" t="s">
        <v>101</v>
      </c>
      <c r="B101">
        <v>1006744.6438846641</v>
      </c>
      <c r="C101">
        <v>592340.59889287211</v>
      </c>
      <c r="D101">
        <f t="shared" si="2"/>
        <v>1</v>
      </c>
      <c r="E101">
        <v>814127.41879255732</v>
      </c>
      <c r="F101">
        <v>705567.55336608575</v>
      </c>
      <c r="G101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2025-05-12T15:41:55Z</dcterms:created>
  <dcterms:modified xsi:type="dcterms:W3CDTF">2025-05-12T15:47:55Z</dcterms:modified>
</cp:coreProperties>
</file>