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9012\OneDrive\Programs\JJ\Data_bases\DB_tests\Cause_effect_pair\"/>
    </mc:Choice>
  </mc:AlternateContent>
  <xr:revisionPtr revIDLastSave="0" documentId="13_ncr:1_{AA1F835A-5E2C-46AE-8F58-54D76720A534}" xr6:coauthVersionLast="47" xr6:coauthVersionMax="47" xr10:uidLastSave="{00000000-0000-0000-0000-000000000000}"/>
  <bookViews>
    <workbookView xWindow="-90" yWindow="0" windowWidth="24260" windowHeight="209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6" i="1" l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7" i="1"/>
  <c r="L6" i="1" l="1"/>
  <c r="AB6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7" i="1"/>
  <c r="AC91" i="1" l="1"/>
  <c r="AD91" i="1" s="1"/>
  <c r="H91" i="1"/>
  <c r="AC59" i="1"/>
  <c r="AD59" i="1" s="1"/>
  <c r="H59" i="1"/>
  <c r="H27" i="1"/>
  <c r="AC27" i="1"/>
  <c r="AD27" i="1" s="1"/>
  <c r="H93" i="1"/>
  <c r="AC93" i="1"/>
  <c r="AD93" i="1" s="1"/>
  <c r="H90" i="1"/>
  <c r="AC90" i="1"/>
  <c r="AD90" i="1" s="1"/>
  <c r="H86" i="1"/>
  <c r="AC86" i="1"/>
  <c r="AD86" i="1" s="1"/>
  <c r="H54" i="1"/>
  <c r="AC54" i="1"/>
  <c r="AD54" i="1" s="1"/>
  <c r="H22" i="1"/>
  <c r="AC22" i="1"/>
  <c r="AD22" i="1" s="1"/>
  <c r="H28" i="1"/>
  <c r="AC28" i="1"/>
  <c r="AD28" i="1" s="1"/>
  <c r="H84" i="1"/>
  <c r="AC84" i="1"/>
  <c r="AD84" i="1" s="1"/>
  <c r="AC52" i="1"/>
  <c r="AD52" i="1" s="1"/>
  <c r="H52" i="1"/>
  <c r="H20" i="1"/>
  <c r="AC20" i="1"/>
  <c r="AD20" i="1" s="1"/>
  <c r="H57" i="1"/>
  <c r="AC57" i="1"/>
  <c r="AD57" i="1" s="1"/>
  <c r="AC18" i="1"/>
  <c r="AD18" i="1" s="1"/>
  <c r="H18" i="1"/>
  <c r="AC49" i="1"/>
  <c r="AD49" i="1" s="1"/>
  <c r="H49" i="1"/>
  <c r="H17" i="1"/>
  <c r="AC17" i="1"/>
  <c r="AD17" i="1" s="1"/>
  <c r="H23" i="1"/>
  <c r="AC23" i="1"/>
  <c r="AD23" i="1" s="1"/>
  <c r="H50" i="1"/>
  <c r="AC50" i="1"/>
  <c r="AD50" i="1" s="1"/>
  <c r="H19" i="1"/>
  <c r="AC19" i="1"/>
  <c r="AD19" i="1" s="1"/>
  <c r="AC13" i="1"/>
  <c r="AD13" i="1" s="1"/>
  <c r="H13" i="1"/>
  <c r="AC11" i="1"/>
  <c r="AD11" i="1" s="1"/>
  <c r="H11" i="1"/>
  <c r="AC89" i="1"/>
  <c r="AD89" i="1" s="1"/>
  <c r="H89" i="1"/>
  <c r="AC80" i="1"/>
  <c r="AD80" i="1" s="1"/>
  <c r="H80" i="1"/>
  <c r="AC106" i="1"/>
  <c r="AD106" i="1" s="1"/>
  <c r="H106" i="1"/>
  <c r="H74" i="1"/>
  <c r="AC74" i="1"/>
  <c r="AD74" i="1" s="1"/>
  <c r="AC42" i="1"/>
  <c r="AD42" i="1" s="1"/>
  <c r="H42" i="1"/>
  <c r="AC10" i="1"/>
  <c r="AD10" i="1" s="1"/>
  <c r="H10" i="1"/>
  <c r="H92" i="1"/>
  <c r="AC92" i="1"/>
  <c r="AD92" i="1" s="1"/>
  <c r="AC105" i="1"/>
  <c r="AD105" i="1" s="1"/>
  <c r="H105" i="1"/>
  <c r="H73" i="1"/>
  <c r="AC73" i="1"/>
  <c r="AD73" i="1" s="1"/>
  <c r="AC41" i="1"/>
  <c r="AD41" i="1" s="1"/>
  <c r="H41" i="1"/>
  <c r="H9" i="1"/>
  <c r="AC9" i="1"/>
  <c r="AD9" i="1" s="1"/>
  <c r="H83" i="1"/>
  <c r="AC83" i="1"/>
  <c r="AD83" i="1" s="1"/>
  <c r="H79" i="1"/>
  <c r="AC79" i="1"/>
  <c r="AD79" i="1" s="1"/>
  <c r="AC104" i="1"/>
  <c r="AD104" i="1" s="1"/>
  <c r="H104" i="1"/>
  <c r="AC72" i="1"/>
  <c r="AD72" i="1" s="1"/>
  <c r="H72" i="1"/>
  <c r="H40" i="1"/>
  <c r="AC40" i="1"/>
  <c r="AD40" i="1" s="1"/>
  <c r="AC8" i="1"/>
  <c r="AD8" i="1" s="1"/>
  <c r="H8" i="1"/>
  <c r="H88" i="1"/>
  <c r="AC88" i="1"/>
  <c r="AD88" i="1" s="1"/>
  <c r="H53" i="1"/>
  <c r="AC53" i="1"/>
  <c r="AD53" i="1" s="1"/>
  <c r="AC81" i="1"/>
  <c r="AD81" i="1" s="1"/>
  <c r="H81" i="1"/>
  <c r="AC15" i="1"/>
  <c r="AD15" i="1" s="1"/>
  <c r="H15" i="1"/>
  <c r="AC43" i="1"/>
  <c r="AD43" i="1" s="1"/>
  <c r="H43" i="1"/>
  <c r="AC103" i="1"/>
  <c r="AD103" i="1" s="1"/>
  <c r="H103" i="1"/>
  <c r="H71" i="1"/>
  <c r="AC71" i="1"/>
  <c r="AD71" i="1" s="1"/>
  <c r="AC39" i="1"/>
  <c r="AD39" i="1" s="1"/>
  <c r="H39" i="1"/>
  <c r="AC78" i="1"/>
  <c r="AD78" i="1" s="1"/>
  <c r="H78" i="1"/>
  <c r="AC102" i="1"/>
  <c r="AD102" i="1" s="1"/>
  <c r="H102" i="1"/>
  <c r="H70" i="1"/>
  <c r="AC70" i="1"/>
  <c r="AD70" i="1" s="1"/>
  <c r="H38" i="1"/>
  <c r="AC38" i="1"/>
  <c r="AD38" i="1" s="1"/>
  <c r="AC48" i="1"/>
  <c r="AD48" i="1" s="1"/>
  <c r="H48" i="1"/>
  <c r="AC77" i="1"/>
  <c r="AD77" i="1" s="1"/>
  <c r="H77" i="1"/>
  <c r="H101" i="1"/>
  <c r="AC101" i="1"/>
  <c r="AD101" i="1" s="1"/>
  <c r="H69" i="1"/>
  <c r="AC69" i="1"/>
  <c r="AD69" i="1" s="1"/>
  <c r="H37" i="1"/>
  <c r="AC37" i="1"/>
  <c r="AD37" i="1" s="1"/>
  <c r="H61" i="1"/>
  <c r="AC61" i="1"/>
  <c r="AD61" i="1" s="1"/>
  <c r="H24" i="1"/>
  <c r="AC24" i="1"/>
  <c r="AD24" i="1" s="1"/>
  <c r="H85" i="1"/>
  <c r="AC85" i="1"/>
  <c r="AD85" i="1" s="1"/>
  <c r="AC14" i="1"/>
  <c r="AD14" i="1" s="1"/>
  <c r="H14" i="1"/>
  <c r="AC12" i="1"/>
  <c r="AD12" i="1" s="1"/>
  <c r="H12" i="1"/>
  <c r="H100" i="1"/>
  <c r="AC100" i="1"/>
  <c r="AD100" i="1" s="1"/>
  <c r="AC68" i="1"/>
  <c r="AD68" i="1" s="1"/>
  <c r="H68" i="1"/>
  <c r="AC36" i="1"/>
  <c r="AD36" i="1" s="1"/>
  <c r="H36" i="1"/>
  <c r="H60" i="1"/>
  <c r="AC60" i="1"/>
  <c r="AD60" i="1" s="1"/>
  <c r="H82" i="1"/>
  <c r="AC82" i="1"/>
  <c r="AD82" i="1" s="1"/>
  <c r="AC45" i="1"/>
  <c r="AD45" i="1" s="1"/>
  <c r="H45" i="1"/>
  <c r="H99" i="1"/>
  <c r="AC99" i="1"/>
  <c r="AD99" i="1" s="1"/>
  <c r="H67" i="1"/>
  <c r="AC67" i="1"/>
  <c r="AD67" i="1" s="1"/>
  <c r="H35" i="1"/>
  <c r="AC35" i="1"/>
  <c r="AD35" i="1" s="1"/>
  <c r="AC26" i="1"/>
  <c r="AD26" i="1" s="1"/>
  <c r="H26" i="1"/>
  <c r="H51" i="1"/>
  <c r="AC51" i="1"/>
  <c r="AD51" i="1" s="1"/>
  <c r="H47" i="1"/>
  <c r="AC47" i="1"/>
  <c r="AD47" i="1" s="1"/>
  <c r="H98" i="1"/>
  <c r="AC98" i="1"/>
  <c r="AD98" i="1" s="1"/>
  <c r="H66" i="1"/>
  <c r="AC66" i="1"/>
  <c r="AD66" i="1" s="1"/>
  <c r="H34" i="1"/>
  <c r="AC34" i="1"/>
  <c r="AD34" i="1" s="1"/>
  <c r="H29" i="1"/>
  <c r="AC29" i="1"/>
  <c r="AD29" i="1" s="1"/>
  <c r="H21" i="1"/>
  <c r="AC21" i="1"/>
  <c r="AD21" i="1" s="1"/>
  <c r="AC75" i="1"/>
  <c r="AD75" i="1" s="1"/>
  <c r="H75" i="1"/>
  <c r="H97" i="1"/>
  <c r="AC97" i="1"/>
  <c r="AD97" i="1" s="1"/>
  <c r="AC65" i="1"/>
  <c r="AD65" i="1" s="1"/>
  <c r="H65" i="1"/>
  <c r="H33" i="1"/>
  <c r="AC33" i="1"/>
  <c r="AD33" i="1" s="1"/>
  <c r="AC58" i="1"/>
  <c r="AD58" i="1" s="1"/>
  <c r="H58" i="1"/>
  <c r="H56" i="1"/>
  <c r="AC56" i="1"/>
  <c r="AD56" i="1" s="1"/>
  <c r="H16" i="1"/>
  <c r="AC16" i="1"/>
  <c r="AD16" i="1" s="1"/>
  <c r="H44" i="1"/>
  <c r="AC44" i="1"/>
  <c r="AD44" i="1" s="1"/>
  <c r="H96" i="1"/>
  <c r="AC96" i="1"/>
  <c r="AD96" i="1" s="1"/>
  <c r="AC64" i="1"/>
  <c r="AD64" i="1" s="1"/>
  <c r="H64" i="1"/>
  <c r="H32" i="1"/>
  <c r="AC32" i="1"/>
  <c r="AD32" i="1" s="1"/>
  <c r="AC25" i="1"/>
  <c r="AD25" i="1" s="1"/>
  <c r="H25" i="1"/>
  <c r="H87" i="1"/>
  <c r="AC87" i="1"/>
  <c r="AD87" i="1" s="1"/>
  <c r="AC7" i="1"/>
  <c r="H7" i="1"/>
  <c r="AC46" i="1"/>
  <c r="AD46" i="1" s="1"/>
  <c r="H46" i="1"/>
  <c r="AC76" i="1"/>
  <c r="AD76" i="1" s="1"/>
  <c r="H76" i="1"/>
  <c r="H95" i="1"/>
  <c r="AC95" i="1"/>
  <c r="AD95" i="1" s="1"/>
  <c r="H63" i="1"/>
  <c r="AC63" i="1"/>
  <c r="AD63" i="1" s="1"/>
  <c r="H31" i="1"/>
  <c r="AC31" i="1"/>
  <c r="AD31" i="1" s="1"/>
  <c r="AC55" i="1"/>
  <c r="AD55" i="1" s="1"/>
  <c r="H55" i="1"/>
  <c r="AC94" i="1"/>
  <c r="AD94" i="1" s="1"/>
  <c r="H94" i="1"/>
  <c r="H62" i="1"/>
  <c r="AC62" i="1"/>
  <c r="AD62" i="1" s="1"/>
  <c r="H30" i="1"/>
  <c r="AC30" i="1"/>
  <c r="AD30" i="1" s="1"/>
  <c r="G6" i="1"/>
  <c r="F6" i="1"/>
  <c r="W6" i="1"/>
  <c r="AA6" i="1"/>
  <c r="N36" i="1" l="1"/>
  <c r="M36" i="1"/>
  <c r="P36" i="1" s="1"/>
  <c r="N106" i="1"/>
  <c r="M106" i="1"/>
  <c r="P106" i="1" s="1"/>
  <c r="M29" i="1"/>
  <c r="P29" i="1" s="1"/>
  <c r="N29" i="1"/>
  <c r="N80" i="1"/>
  <c r="M80" i="1"/>
  <c r="P80" i="1" s="1"/>
  <c r="M12" i="1"/>
  <c r="P12" i="1" s="1"/>
  <c r="N12" i="1"/>
  <c r="M40" i="1"/>
  <c r="P40" i="1" s="1"/>
  <c r="N40" i="1"/>
  <c r="M102" i="1"/>
  <c r="P102" i="1" s="1"/>
  <c r="N102" i="1"/>
  <c r="N13" i="1"/>
  <c r="M13" i="1"/>
  <c r="P13" i="1" s="1"/>
  <c r="N19" i="1"/>
  <c r="M19" i="1"/>
  <c r="P19" i="1" s="1"/>
  <c r="M54" i="1"/>
  <c r="P54" i="1" s="1"/>
  <c r="N54" i="1"/>
  <c r="N47" i="1"/>
  <c r="M47" i="1"/>
  <c r="P47" i="1" s="1"/>
  <c r="N44" i="1"/>
  <c r="M44" i="1"/>
  <c r="P44" i="1" s="1"/>
  <c r="N16" i="1"/>
  <c r="M16" i="1"/>
  <c r="P16" i="1" s="1"/>
  <c r="N18" i="1"/>
  <c r="M18" i="1"/>
  <c r="P18" i="1" s="1"/>
  <c r="M26" i="1"/>
  <c r="P26" i="1" s="1"/>
  <c r="N26" i="1"/>
  <c r="M15" i="1"/>
  <c r="P15" i="1" s="1"/>
  <c r="N15" i="1"/>
  <c r="N50" i="1"/>
  <c r="M50" i="1"/>
  <c r="P50" i="1" s="1"/>
  <c r="M86" i="1"/>
  <c r="P86" i="1" s="1"/>
  <c r="N86" i="1"/>
  <c r="N105" i="1"/>
  <c r="M105" i="1"/>
  <c r="P105" i="1" s="1"/>
  <c r="N74" i="1"/>
  <c r="M74" i="1"/>
  <c r="P74" i="1" s="1"/>
  <c r="M104" i="1"/>
  <c r="P104" i="1" s="1"/>
  <c r="N104" i="1"/>
  <c r="M21" i="1"/>
  <c r="P21" i="1" s="1"/>
  <c r="N21" i="1"/>
  <c r="N100" i="1"/>
  <c r="M100" i="1"/>
  <c r="P100" i="1" s="1"/>
  <c r="N79" i="1"/>
  <c r="M79" i="1"/>
  <c r="P79" i="1" s="1"/>
  <c r="M24" i="1"/>
  <c r="P24" i="1" s="1"/>
  <c r="N24" i="1"/>
  <c r="M33" i="1"/>
  <c r="P33" i="1" s="1"/>
  <c r="N33" i="1"/>
  <c r="M25" i="1"/>
  <c r="P25" i="1" s="1"/>
  <c r="N25" i="1"/>
  <c r="M72" i="1"/>
  <c r="P72" i="1" s="1"/>
  <c r="N72" i="1"/>
  <c r="M96" i="1"/>
  <c r="P96" i="1" s="1"/>
  <c r="N96" i="1"/>
  <c r="M98" i="1"/>
  <c r="P98" i="1" s="1"/>
  <c r="N98" i="1"/>
  <c r="N55" i="1"/>
  <c r="M55" i="1"/>
  <c r="P55" i="1" s="1"/>
  <c r="M103" i="1"/>
  <c r="P103" i="1" s="1"/>
  <c r="N103" i="1"/>
  <c r="M51" i="1"/>
  <c r="P51" i="1" s="1"/>
  <c r="N51" i="1"/>
  <c r="M61" i="1"/>
  <c r="P61" i="1" s="1"/>
  <c r="N61" i="1"/>
  <c r="M37" i="1"/>
  <c r="P37" i="1" s="1"/>
  <c r="N37" i="1"/>
  <c r="M65" i="1"/>
  <c r="P65" i="1" s="1"/>
  <c r="N65" i="1"/>
  <c r="M92" i="1"/>
  <c r="P92" i="1" s="1"/>
  <c r="N92" i="1"/>
  <c r="N23" i="1"/>
  <c r="M23" i="1"/>
  <c r="P23" i="1" s="1"/>
  <c r="M93" i="1"/>
  <c r="P93" i="1" s="1"/>
  <c r="N93" i="1"/>
  <c r="M70" i="1"/>
  <c r="P70" i="1" s="1"/>
  <c r="N70" i="1"/>
  <c r="M34" i="1"/>
  <c r="P34" i="1" s="1"/>
  <c r="N34" i="1"/>
  <c r="N52" i="1"/>
  <c r="M52" i="1"/>
  <c r="P52" i="1" s="1"/>
  <c r="N62" i="1"/>
  <c r="M62" i="1"/>
  <c r="P62" i="1" s="1"/>
  <c r="N14" i="1"/>
  <c r="M14" i="1"/>
  <c r="P14" i="1" s="1"/>
  <c r="N76" i="1"/>
  <c r="M76" i="1"/>
  <c r="P76" i="1" s="1"/>
  <c r="M99" i="1"/>
  <c r="P99" i="1" s="1"/>
  <c r="N99" i="1"/>
  <c r="N45" i="1"/>
  <c r="M45" i="1"/>
  <c r="P45" i="1" s="1"/>
  <c r="M101" i="1"/>
  <c r="P101" i="1" s="1"/>
  <c r="N101" i="1"/>
  <c r="N10" i="1"/>
  <c r="M10" i="1"/>
  <c r="P10" i="1" s="1"/>
  <c r="M38" i="1"/>
  <c r="P38" i="1" s="1"/>
  <c r="N38" i="1"/>
  <c r="N32" i="1"/>
  <c r="M32" i="1"/>
  <c r="P32" i="1" s="1"/>
  <c r="M66" i="1"/>
  <c r="P66" i="1" s="1"/>
  <c r="N66" i="1"/>
  <c r="M83" i="1"/>
  <c r="P83" i="1" s="1"/>
  <c r="N83" i="1"/>
  <c r="M71" i="1"/>
  <c r="P71" i="1" s="1"/>
  <c r="N71" i="1"/>
  <c r="M22" i="1"/>
  <c r="P22" i="1" s="1"/>
  <c r="N22" i="1"/>
  <c r="N73" i="1"/>
  <c r="M73" i="1"/>
  <c r="P73" i="1" s="1"/>
  <c r="M58" i="1"/>
  <c r="P58" i="1" s="1"/>
  <c r="N58" i="1"/>
  <c r="M67" i="1"/>
  <c r="P67" i="1" s="1"/>
  <c r="N67" i="1"/>
  <c r="M69" i="1"/>
  <c r="P69" i="1" s="1"/>
  <c r="N69" i="1"/>
  <c r="N77" i="1"/>
  <c r="M77" i="1"/>
  <c r="P77" i="1" s="1"/>
  <c r="M53" i="1"/>
  <c r="P53" i="1" s="1"/>
  <c r="N53" i="1"/>
  <c r="N27" i="1"/>
  <c r="M27" i="1"/>
  <c r="P27" i="1" s="1"/>
  <c r="M87" i="1"/>
  <c r="P87" i="1" s="1"/>
  <c r="N87" i="1"/>
  <c r="N20" i="1"/>
  <c r="M20" i="1"/>
  <c r="P20" i="1" s="1"/>
  <c r="N84" i="1"/>
  <c r="M84" i="1"/>
  <c r="P84" i="1" s="1"/>
  <c r="M28" i="1"/>
  <c r="P28" i="1" s="1"/>
  <c r="N28" i="1"/>
  <c r="N9" i="1"/>
  <c r="M9" i="1"/>
  <c r="P9" i="1" s="1"/>
  <c r="N43" i="1"/>
  <c r="M43" i="1"/>
  <c r="P43" i="1" s="1"/>
  <c r="M63" i="1"/>
  <c r="P63" i="1" s="1"/>
  <c r="N63" i="1"/>
  <c r="N90" i="1"/>
  <c r="M90" i="1"/>
  <c r="P90" i="1" s="1"/>
  <c r="M97" i="1"/>
  <c r="P97" i="1" s="1"/>
  <c r="N97" i="1"/>
  <c r="N17" i="1"/>
  <c r="M17" i="1"/>
  <c r="P17" i="1" s="1"/>
  <c r="N59" i="1"/>
  <c r="M59" i="1"/>
  <c r="P59" i="1" s="1"/>
  <c r="N68" i="1"/>
  <c r="M68" i="1"/>
  <c r="P68" i="1" s="1"/>
  <c r="N78" i="1"/>
  <c r="M78" i="1"/>
  <c r="P78" i="1" s="1"/>
  <c r="N30" i="1"/>
  <c r="M30" i="1"/>
  <c r="P30" i="1" s="1"/>
  <c r="M89" i="1"/>
  <c r="P89" i="1" s="1"/>
  <c r="N89" i="1"/>
  <c r="M56" i="1"/>
  <c r="P56" i="1" s="1"/>
  <c r="N56" i="1"/>
  <c r="M81" i="1"/>
  <c r="P81" i="1" s="1"/>
  <c r="N81" i="1"/>
  <c r="N7" i="1"/>
  <c r="M7" i="1"/>
  <c r="N75" i="1"/>
  <c r="M75" i="1"/>
  <c r="P75" i="1" s="1"/>
  <c r="N82" i="1"/>
  <c r="M82" i="1"/>
  <c r="P82" i="1" s="1"/>
  <c r="N42" i="1"/>
  <c r="M42" i="1"/>
  <c r="P42" i="1" s="1"/>
  <c r="N64" i="1"/>
  <c r="M64" i="1"/>
  <c r="P64" i="1" s="1"/>
  <c r="M39" i="1"/>
  <c r="P39" i="1" s="1"/>
  <c r="N39" i="1"/>
  <c r="N41" i="1"/>
  <c r="M41" i="1"/>
  <c r="P41" i="1" s="1"/>
  <c r="N31" i="1"/>
  <c r="M31" i="1"/>
  <c r="P31" i="1" s="1"/>
  <c r="N95" i="1"/>
  <c r="M95" i="1"/>
  <c r="P95" i="1" s="1"/>
  <c r="AD7" i="1"/>
  <c r="AD6" i="1" s="1"/>
  <c r="AC6" i="1"/>
  <c r="N48" i="1"/>
  <c r="M48" i="1"/>
  <c r="P48" i="1" s="1"/>
  <c r="M88" i="1"/>
  <c r="P88" i="1" s="1"/>
  <c r="N88" i="1"/>
  <c r="N49" i="1"/>
  <c r="M49" i="1"/>
  <c r="P49" i="1" s="1"/>
  <c r="M91" i="1"/>
  <c r="P91" i="1" s="1"/>
  <c r="N91" i="1"/>
  <c r="M60" i="1"/>
  <c r="P60" i="1" s="1"/>
  <c r="N60" i="1"/>
  <c r="M57" i="1"/>
  <c r="P57" i="1" s="1"/>
  <c r="N57" i="1"/>
  <c r="M94" i="1"/>
  <c r="P94" i="1" s="1"/>
  <c r="N94" i="1"/>
  <c r="H6" i="1"/>
  <c r="N11" i="1"/>
  <c r="M11" i="1"/>
  <c r="P11" i="1" s="1"/>
  <c r="M85" i="1"/>
  <c r="P85" i="1" s="1"/>
  <c r="N85" i="1"/>
  <c r="N35" i="1"/>
  <c r="M35" i="1"/>
  <c r="P35" i="1" s="1"/>
  <c r="N46" i="1"/>
  <c r="M46" i="1"/>
  <c r="P46" i="1" s="1"/>
  <c r="N8" i="1"/>
  <c r="M8" i="1"/>
  <c r="P8" i="1" s="1"/>
  <c r="M6" i="1" l="1"/>
  <c r="P7" i="1"/>
  <c r="P5" i="1" s="1"/>
  <c r="N6" i="1"/>
</calcChain>
</file>

<file path=xl/sharedStrings.xml><?xml version="1.0" encoding="utf-8"?>
<sst xmlns="http://schemas.openxmlformats.org/spreadsheetml/2006/main" count="125" uniqueCount="123">
  <si>
    <t>Path(XmeanA)</t>
  </si>
  <si>
    <t>Path(XmeanB)</t>
  </si>
  <si>
    <t>train7001</t>
  </si>
  <si>
    <t>train3485</t>
  </si>
  <si>
    <t>train4453</t>
  </si>
  <si>
    <t>train7717</t>
  </si>
  <si>
    <t>train7377</t>
  </si>
  <si>
    <t>train6201</t>
  </si>
  <si>
    <t>train1277</t>
  </si>
  <si>
    <t>train5572</t>
  </si>
  <si>
    <t>train3478</t>
  </si>
  <si>
    <t>train7343</t>
  </si>
  <si>
    <t>train1474</t>
  </si>
  <si>
    <t>train261</t>
  </si>
  <si>
    <t>train2164</t>
  </si>
  <si>
    <t>train4650</t>
  </si>
  <si>
    <t>train5607</t>
  </si>
  <si>
    <t>train3469</t>
  </si>
  <si>
    <t>train4659</t>
  </si>
  <si>
    <t>train6296</t>
  </si>
  <si>
    <t>train2073</t>
  </si>
  <si>
    <t>train6539</t>
  </si>
  <si>
    <t>train794</t>
  </si>
  <si>
    <t>train1169</t>
  </si>
  <si>
    <t>train3119</t>
  </si>
  <si>
    <t>train5088</t>
  </si>
  <si>
    <t>train3747</t>
  </si>
  <si>
    <t>train2839</t>
  </si>
  <si>
    <t>train4862</t>
  </si>
  <si>
    <t>train2614</t>
  </si>
  <si>
    <t>train1686</t>
  </si>
  <si>
    <t>train243</t>
  </si>
  <si>
    <t>train6958</t>
  </si>
  <si>
    <t>train7465</t>
  </si>
  <si>
    <t>train5480</t>
  </si>
  <si>
    <t>train228</t>
  </si>
  <si>
    <t>train2295</t>
  </si>
  <si>
    <t>train1018</t>
  </si>
  <si>
    <t>train1063</t>
  </si>
  <si>
    <t>train3104</t>
  </si>
  <si>
    <t>train7642</t>
  </si>
  <si>
    <t>train2681</t>
  </si>
  <si>
    <t>train2721</t>
  </si>
  <si>
    <t>train3903</t>
  </si>
  <si>
    <t>train403</t>
  </si>
  <si>
    <t>train3014</t>
  </si>
  <si>
    <t>train6285</t>
  </si>
  <si>
    <t>train7045</t>
  </si>
  <si>
    <t>train3076</t>
  </si>
  <si>
    <t>train7619</t>
  </si>
  <si>
    <t>train2994</t>
  </si>
  <si>
    <t>train4706</t>
  </si>
  <si>
    <t>train3938</t>
  </si>
  <si>
    <t>train123</t>
  </si>
  <si>
    <t>train4468</t>
  </si>
  <si>
    <t>train5195</t>
  </si>
  <si>
    <t>train7133</t>
  </si>
  <si>
    <t>train2459</t>
  </si>
  <si>
    <t>train3519</t>
  </si>
  <si>
    <t>train1655</t>
  </si>
  <si>
    <t>train4181</t>
  </si>
  <si>
    <t>train3971</t>
  </si>
  <si>
    <t>train6654</t>
  </si>
  <si>
    <t>train1036</t>
  </si>
  <si>
    <t>train423</t>
  </si>
  <si>
    <t>train6833</t>
  </si>
  <si>
    <t>train4014</t>
  </si>
  <si>
    <t>train44</t>
  </si>
  <si>
    <t>train4001</t>
  </si>
  <si>
    <t>train5748</t>
  </si>
  <si>
    <t>train4036</t>
  </si>
  <si>
    <t>train2848</t>
  </si>
  <si>
    <t>train6646</t>
  </si>
  <si>
    <t>train5609</t>
  </si>
  <si>
    <t>train2780</t>
  </si>
  <si>
    <t>train1524</t>
  </si>
  <si>
    <t>train3496</t>
  </si>
  <si>
    <t>train6944</t>
  </si>
  <si>
    <t>train919</t>
  </si>
  <si>
    <t>train5065</t>
  </si>
  <si>
    <t>train1208</t>
  </si>
  <si>
    <t>train6325</t>
  </si>
  <si>
    <t>train5218</t>
  </si>
  <si>
    <t>train4537</t>
  </si>
  <si>
    <t>train4653</t>
  </si>
  <si>
    <t>train1128</t>
  </si>
  <si>
    <t>train552</t>
  </si>
  <si>
    <t>train1442</t>
  </si>
  <si>
    <t>train2792</t>
  </si>
  <si>
    <t>train954</t>
  </si>
  <si>
    <t>train2209</t>
  </si>
  <si>
    <t>train3462</t>
  </si>
  <si>
    <t>train5564</t>
  </si>
  <si>
    <t>train4260</t>
  </si>
  <si>
    <t>train6020</t>
  </si>
  <si>
    <t>train6661</t>
  </si>
  <si>
    <t>train6111</t>
  </si>
  <si>
    <t>train3479</t>
  </si>
  <si>
    <t>train7048</t>
  </si>
  <si>
    <t>train2110</t>
  </si>
  <si>
    <t>train4558</t>
  </si>
  <si>
    <t>train3933</t>
  </si>
  <si>
    <t>A_mean</t>
  </si>
  <si>
    <t>B_mean</t>
  </si>
  <si>
    <t>Path(['']A)</t>
  </si>
  <si>
    <t>Path(['']B)</t>
  </si>
  <si>
    <t>STD(A,B)</t>
  </si>
  <si>
    <t>STD(B,A)</t>
  </si>
  <si>
    <t>二次过滤法</t>
  </si>
  <si>
    <t>一阶过滤</t>
  </si>
  <si>
    <t>STD(A,B): B加0.5噪音 (噪音加到y上) 10次的std(DPLS_R(A,B)), STD(B,A)反之</t>
  </si>
  <si>
    <t>Path_A: 样本按B升序排列后, δ_A之和, Path_B反之</t>
  </si>
  <si>
    <t>二阶过滤</t>
  </si>
  <si>
    <t>=IF: 2*C &lt; D-C</t>
  </si>
  <si>
    <t>=IF: 2*D &lt; C-D</t>
  </si>
  <si>
    <t>一阶过滤剩余</t>
  </si>
  <si>
    <t>=IF: D&lt;C</t>
  </si>
  <si>
    <t>=IF: J&lt;K</t>
  </si>
  <si>
    <t>=IF: J&lt;K &amp; H=1</t>
  </si>
  <si>
    <t>=IF: J&gt;K &amp; H=1</t>
  </si>
  <si>
    <t>正确个数</t>
  </si>
  <si>
    <t>DPLS_R2(['drop_duplicates_mean']A, B)</t>
  </si>
  <si>
    <t>DPLS_R2(['drop_duplicates_mean']B, 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</si>
</sst>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4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tted">
        <color auto="1"/>
      </top>
      <bottom style="double">
        <color auto="1"/>
      </bottom>
      <diagonal/>
    </border>
    <border>
      <left/>
      <right/>
      <top style="dotted">
        <color auto="1"/>
      </top>
      <bottom style="double">
        <color auto="1"/>
      </bottom>
      <diagonal/>
    </border>
    <border>
      <left/>
      <right style="double">
        <color auto="1"/>
      </right>
      <top style="dotted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tted">
        <color auto="1"/>
      </bottom>
      <diagonal/>
    </border>
    <border>
      <left/>
      <right/>
      <top style="double">
        <color auto="1"/>
      </top>
      <bottom style="dotted">
        <color auto="1"/>
      </bottom>
      <diagonal/>
    </border>
    <border>
      <left/>
      <right style="double">
        <color auto="1"/>
      </right>
      <top style="double">
        <color auto="1"/>
      </top>
      <bottom style="dotted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/>
    </xf>
    <xf numFmtId="0" fontId="2" fillId="2" borderId="18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left" vertical="center"/>
    </xf>
    <xf numFmtId="0" fontId="4" fillId="0" borderId="19" xfId="0" applyFont="1" applyBorder="1" applyAlignment="1">
      <alignment horizontal="center" vertical="top"/>
    </xf>
    <xf numFmtId="0" fontId="0" fillId="0" borderId="17" xfId="0" applyBorder="1"/>
    <xf numFmtId="0" fontId="1" fillId="0" borderId="20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0" fillId="0" borderId="18" xfId="0" applyBorder="1"/>
    <xf numFmtId="0" fontId="1" fillId="0" borderId="21" xfId="0" applyFont="1" applyBorder="1" applyAlignment="1">
      <alignment horizontal="center" vertical="top"/>
    </xf>
    <xf numFmtId="0" fontId="1" fillId="0" borderId="22" xfId="0" applyFont="1" applyBorder="1" applyAlignment="1">
      <alignment horizontal="center" vertical="top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2" fillId="3" borderId="0" xfId="0" applyFont="1" applyFill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0" fillId="0" borderId="0" xfId="0" applyBorder="1"/>
    <xf numFmtId="0" fontId="0" fillId="0" borderId="0" xfId="0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</cellXfs>
  <cellStyles count="1">
    <cellStyle name="常规" xfId="0" builtinId="0"/>
  </cellStyles>
  <dxfs count="4">
    <dxf>
      <fill>
        <patternFill>
          <bgColor theme="3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theme="2" tint="-0.2499465926084170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D107"/>
  <sheetViews>
    <sheetView tabSelected="1" topLeftCell="B1" zoomScale="85" zoomScaleNormal="85" workbookViewId="0">
      <selection activeCell="R46" sqref="R46"/>
    </sheetView>
  </sheetViews>
  <sheetFormatPr defaultRowHeight="14.5" x14ac:dyDescent="0.35"/>
  <cols>
    <col min="2" max="2" width="9.26953125" bestFit="1" customWidth="1"/>
    <col min="3" max="4" width="12.7265625" bestFit="1" customWidth="1"/>
    <col min="5" max="5" width="7.81640625" bestFit="1" customWidth="1"/>
    <col min="6" max="6" width="12.6328125" bestFit="1" customWidth="1"/>
    <col min="7" max="7" width="12.36328125" bestFit="1" customWidth="1"/>
    <col min="8" max="8" width="13.1796875" bestFit="1" customWidth="1"/>
    <col min="9" max="9" width="8.81640625" customWidth="1"/>
    <col min="10" max="11" width="12.7265625" bestFit="1" customWidth="1"/>
    <col min="12" max="12" width="7.1796875" bestFit="1" customWidth="1"/>
    <col min="13" max="14" width="12.7265625" bestFit="1" customWidth="1"/>
    <col min="16" max="16" width="8.1796875" bestFit="1" customWidth="1"/>
    <col min="17" max="17" width="8.1796875" customWidth="1"/>
    <col min="18" max="19" width="35.08984375" bestFit="1" customWidth="1"/>
    <col min="21" max="21" width="13.1796875" bestFit="1" customWidth="1"/>
    <col min="22" max="22" width="13" bestFit="1" customWidth="1"/>
    <col min="23" max="23" width="3.08984375" bestFit="1" customWidth="1"/>
    <col min="24" max="24" width="2.81640625" customWidth="1"/>
    <col min="25" max="25" width="13" bestFit="1" customWidth="1"/>
    <col min="26" max="26" width="13.1796875" bestFit="1" customWidth="1"/>
    <col min="27" max="30" width="3.08984375" bestFit="1" customWidth="1"/>
  </cols>
  <sheetData>
    <row r="1" spans="2:30" ht="15" thickBot="1" x14ac:dyDescent="0.4"/>
    <row r="2" spans="2:30" ht="15.5" thickTop="1" thickBot="1" x14ac:dyDescent="0.4">
      <c r="B2" s="22" t="s">
        <v>108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4"/>
      <c r="Q2" s="36"/>
      <c r="R2" s="36"/>
    </row>
    <row r="3" spans="2:30" ht="15.5" thickTop="1" thickBot="1" x14ac:dyDescent="0.4">
      <c r="B3" s="25" t="s">
        <v>109</v>
      </c>
      <c r="C3" s="26"/>
      <c r="D3" s="26"/>
      <c r="E3" s="26"/>
      <c r="F3" s="26"/>
      <c r="G3" s="26"/>
      <c r="H3" s="26"/>
      <c r="I3" s="27"/>
      <c r="J3" s="28" t="s">
        <v>110</v>
      </c>
      <c r="K3" s="29"/>
      <c r="L3" s="29"/>
      <c r="M3" s="29"/>
      <c r="N3" s="29"/>
      <c r="O3" s="29"/>
      <c r="P3" s="30"/>
      <c r="Q3" s="36"/>
      <c r="R3" s="36"/>
    </row>
    <row r="4" spans="2:30" ht="15.5" thickTop="1" thickBot="1" x14ac:dyDescent="0.4">
      <c r="B4" s="31" t="s">
        <v>111</v>
      </c>
      <c r="C4" s="32"/>
      <c r="D4" s="32"/>
      <c r="E4" s="32"/>
      <c r="F4" s="32"/>
      <c r="G4" s="32"/>
      <c r="H4" s="32"/>
      <c r="I4" s="33"/>
      <c r="J4" s="25" t="s">
        <v>112</v>
      </c>
      <c r="K4" s="26"/>
      <c r="L4" s="26"/>
      <c r="M4" s="26"/>
      <c r="N4" s="26"/>
      <c r="O4" s="26"/>
      <c r="P4" s="2" t="s">
        <v>120</v>
      </c>
      <c r="Q4" s="37"/>
      <c r="R4" s="37"/>
    </row>
    <row r="5" spans="2:30" ht="15" thickTop="1" x14ac:dyDescent="0.35">
      <c r="B5" s="3"/>
      <c r="C5" s="4"/>
      <c r="D5" s="4"/>
      <c r="E5" s="5" t="s">
        <v>116</v>
      </c>
      <c r="F5" s="5" t="s">
        <v>114</v>
      </c>
      <c r="G5" s="5" t="s">
        <v>113</v>
      </c>
      <c r="H5" s="4" t="s">
        <v>115</v>
      </c>
      <c r="I5" s="6"/>
      <c r="J5" s="7"/>
      <c r="K5" s="7"/>
      <c r="L5" s="5" t="s">
        <v>117</v>
      </c>
      <c r="M5" s="5" t="s">
        <v>118</v>
      </c>
      <c r="N5" s="5" t="s">
        <v>119</v>
      </c>
      <c r="O5" s="7"/>
      <c r="P5" s="8">
        <f>SUM(P7:P106)</f>
        <v>72</v>
      </c>
      <c r="Q5" s="38"/>
      <c r="R5" s="38"/>
      <c r="U5" s="21" t="s">
        <v>102</v>
      </c>
      <c r="V5" s="21"/>
      <c r="Y5" s="21" t="s">
        <v>103</v>
      </c>
      <c r="Z5" s="21"/>
    </row>
    <row r="6" spans="2:30" x14ac:dyDescent="0.35">
      <c r="B6" s="9"/>
      <c r="C6" s="10" t="s">
        <v>104</v>
      </c>
      <c r="D6" s="10" t="s">
        <v>105</v>
      </c>
      <c r="E6">
        <f>SUM(E7:E106)</f>
        <v>67</v>
      </c>
      <c r="F6">
        <f>SUM(F7:F106)</f>
        <v>32</v>
      </c>
      <c r="G6" s="20">
        <f>SUM(G7:G106)</f>
        <v>3</v>
      </c>
      <c r="H6">
        <f>SUM(H7:H106)</f>
        <v>65</v>
      </c>
      <c r="I6" s="11"/>
      <c r="J6" s="12" t="s">
        <v>106</v>
      </c>
      <c r="K6" s="13" t="s">
        <v>107</v>
      </c>
      <c r="L6">
        <f>SUM(L7:L106)</f>
        <v>60</v>
      </c>
      <c r="M6">
        <f>SUM(M7:M106)</f>
        <v>40</v>
      </c>
      <c r="N6" s="20">
        <f>SUM(N7:N106)</f>
        <v>25</v>
      </c>
      <c r="P6" s="14"/>
      <c r="Q6" s="35"/>
      <c r="R6" s="34" t="s">
        <v>121</v>
      </c>
      <c r="S6" s="34" t="s">
        <v>122</v>
      </c>
      <c r="T6" s="34"/>
      <c r="U6" s="1" t="s">
        <v>0</v>
      </c>
      <c r="V6" s="1" t="s">
        <v>1</v>
      </c>
      <c r="W6">
        <f>SUM(W7:W106)</f>
        <v>97</v>
      </c>
      <c r="Y6" s="1" t="s">
        <v>1</v>
      </c>
      <c r="Z6" s="1" t="s">
        <v>0</v>
      </c>
      <c r="AA6">
        <f>SUM(AA7:AA106)</f>
        <v>38</v>
      </c>
      <c r="AB6">
        <f>SUM(AB7:AB106)</f>
        <v>35</v>
      </c>
      <c r="AC6">
        <f>SUM(AC7:AC106)</f>
        <v>28</v>
      </c>
      <c r="AD6">
        <f>SUM(AD7:AD106)</f>
        <v>37</v>
      </c>
    </row>
    <row r="7" spans="2:30" x14ac:dyDescent="0.35">
      <c r="B7" s="15" t="s">
        <v>2</v>
      </c>
      <c r="C7">
        <v>1040430.585464334</v>
      </c>
      <c r="D7">
        <v>7298.8640646029608</v>
      </c>
      <c r="E7">
        <f>IF(D7&lt;C7, 1,0)</f>
        <v>1</v>
      </c>
      <c r="F7">
        <f>IF(AND(D7&lt;C7,(C7-D7)&gt;(D7*2)),1,0)</f>
        <v>1</v>
      </c>
      <c r="G7">
        <f>IF(AND(C7&lt;D7,(D7-C7)&gt;(C7*2)),1,0)</f>
        <v>0</v>
      </c>
      <c r="H7">
        <f>IF(F7+G7=0,1,0)</f>
        <v>0</v>
      </c>
      <c r="I7" s="11"/>
      <c r="J7">
        <v>1.3508534699770264E-3</v>
      </c>
      <c r="K7">
        <v>1.647591193499318E-3</v>
      </c>
      <c r="L7">
        <f>IF(J7&lt;K7,1,0)</f>
        <v>1</v>
      </c>
      <c r="M7">
        <f t="shared" ref="M7:M38" si="0">IF(AND(H7=1, J7&lt;K7),1,0)</f>
        <v>0</v>
      </c>
      <c r="N7">
        <f t="shared" ref="N7:N38" si="1">IF(AND(H7=1, J7&gt;K7),1,0)</f>
        <v>0</v>
      </c>
      <c r="P7" s="14">
        <f t="shared" ref="P7:P38" si="2">IF(F7+M7=1,1,0)</f>
        <v>1</v>
      </c>
      <c r="Q7" s="35"/>
      <c r="R7">
        <v>4.2931354709265877E-3</v>
      </c>
      <c r="S7">
        <v>1.4220849362470429E-2</v>
      </c>
      <c r="U7">
        <v>486309.38442741032</v>
      </c>
      <c r="V7">
        <v>1452.2156050277299</v>
      </c>
      <c r="W7">
        <f t="shared" ref="W7:W38" si="3">IF(V7&lt;U7,1,0)</f>
        <v>1</v>
      </c>
      <c r="Y7">
        <v>299.09687034277198</v>
      </c>
      <c r="Z7">
        <v>25506.81634669083</v>
      </c>
      <c r="AA7">
        <f>IF(Y7&lt;Z7,1,0)</f>
        <v>1</v>
      </c>
      <c r="AB7">
        <f>IF(AND((U7/Z7)*ABS(U7-Z7)*1.05&lt;(Y7/V7)*ABS(Y7-V7)),1,0)</f>
        <v>0</v>
      </c>
      <c r="AC7">
        <f>IF(AND(F7=0, (U7/Z7)*ABS(U7-Z7)&gt;1.05*(Y7/V7)*ABS(Y7-V7)),1,0)</f>
        <v>0</v>
      </c>
      <c r="AD7">
        <f>IF(AB7+AC7=0,1,0)</f>
        <v>1</v>
      </c>
    </row>
    <row r="8" spans="2:30" x14ac:dyDescent="0.35">
      <c r="B8" s="15" t="s">
        <v>3</v>
      </c>
      <c r="C8">
        <v>951303.54716981133</v>
      </c>
      <c r="D8">
        <v>1040139.918867924</v>
      </c>
      <c r="E8">
        <f t="shared" ref="E8:E71" si="4">IF(D8&lt;C8, 1,0)</f>
        <v>0</v>
      </c>
      <c r="F8">
        <f t="shared" ref="F8:F71" si="5">IF(AND(D8&lt;C8,(C8-D8)&gt;(D8*2)),1,0)</f>
        <v>0</v>
      </c>
      <c r="G8">
        <f t="shared" ref="G8:G71" si="6">IF(AND(C8&lt;D8,(D8-C8)&gt;(C8*2)),1,0)</f>
        <v>0</v>
      </c>
      <c r="H8">
        <f t="shared" ref="H8:H71" si="7">IF(F8+G8=0,1,0)</f>
        <v>1</v>
      </c>
      <c r="I8" s="11"/>
      <c r="J8">
        <v>3.711688743225422E-2</v>
      </c>
      <c r="K8">
        <v>4.697860623152314E-2</v>
      </c>
      <c r="L8">
        <f t="shared" ref="L8:L71" si="8">IF(J8&lt;K8,1,0)</f>
        <v>1</v>
      </c>
      <c r="M8">
        <f t="shared" si="0"/>
        <v>1</v>
      </c>
      <c r="N8">
        <f t="shared" si="1"/>
        <v>0</v>
      </c>
      <c r="P8" s="14">
        <f t="shared" si="2"/>
        <v>1</v>
      </c>
      <c r="Q8" s="35"/>
      <c r="R8">
        <v>0.1975139370407725</v>
      </c>
      <c r="S8">
        <v>0.26161723962761918</v>
      </c>
      <c r="U8">
        <v>414867.90740842489</v>
      </c>
      <c r="V8">
        <v>189683.17942821069</v>
      </c>
      <c r="W8">
        <f t="shared" si="3"/>
        <v>1</v>
      </c>
      <c r="Y8">
        <v>433409.79571105371</v>
      </c>
      <c r="Z8">
        <v>182868.27488562089</v>
      </c>
      <c r="AA8">
        <f t="shared" ref="AA8:AA71" si="9">IF(Y8&lt;Z8,1,0)</f>
        <v>0</v>
      </c>
      <c r="AB8">
        <f t="shared" ref="AB8:AB71" si="10">IF(AND((U8/Z8)*ABS(U8-Z8)*1.05&lt;(Y8/V8)*ABS(Y8-V8)),1,0)</f>
        <v>1</v>
      </c>
      <c r="AC8">
        <f>IF(AND(F8=0, (U8/Z8)*ABS(U8-Z8)&gt;1.05*(Y8/V8)*ABS(Y8-V8)),1,0)</f>
        <v>0</v>
      </c>
      <c r="AD8">
        <f t="shared" ref="AD8:AD71" si="11">IF(AB8+AC8=0,1,0)</f>
        <v>0</v>
      </c>
    </row>
    <row r="9" spans="2:30" x14ac:dyDescent="0.35">
      <c r="B9" s="15" t="s">
        <v>4</v>
      </c>
      <c r="C9">
        <v>1989306.6886016449</v>
      </c>
      <c r="D9">
        <v>571296.68507638073</v>
      </c>
      <c r="E9">
        <f t="shared" si="4"/>
        <v>1</v>
      </c>
      <c r="F9">
        <f t="shared" si="5"/>
        <v>1</v>
      </c>
      <c r="G9">
        <f t="shared" si="6"/>
        <v>0</v>
      </c>
      <c r="H9">
        <f t="shared" si="7"/>
        <v>0</v>
      </c>
      <c r="I9" s="11"/>
      <c r="J9">
        <v>1.5510010871531055E-3</v>
      </c>
      <c r="K9">
        <v>2.9636862384429582E-2</v>
      </c>
      <c r="L9">
        <f t="shared" si="8"/>
        <v>1</v>
      </c>
      <c r="M9">
        <f t="shared" si="0"/>
        <v>0</v>
      </c>
      <c r="N9">
        <f t="shared" si="1"/>
        <v>0</v>
      </c>
      <c r="P9" s="14">
        <f t="shared" si="2"/>
        <v>1</v>
      </c>
      <c r="Q9" s="35"/>
      <c r="R9">
        <v>1.1280716607769329E-2</v>
      </c>
      <c r="S9">
        <v>0.37736579586733859</v>
      </c>
      <c r="U9">
        <v>724437.50895501394</v>
      </c>
      <c r="V9">
        <v>213406.3132844363</v>
      </c>
      <c r="W9">
        <f t="shared" si="3"/>
        <v>1</v>
      </c>
      <c r="Y9">
        <v>101743.6636880062</v>
      </c>
      <c r="Z9">
        <v>289848.71792940109</v>
      </c>
      <c r="AA9">
        <f t="shared" si="9"/>
        <v>1</v>
      </c>
      <c r="AB9">
        <f t="shared" si="10"/>
        <v>0</v>
      </c>
      <c r="AC9">
        <f>IF(AND(F9=0, (U9/Z9)*ABS(U9-Z9)&gt;1.05*(Y9/V9)*ABS(Y9-V9)),1,0)</f>
        <v>0</v>
      </c>
      <c r="AD9">
        <f t="shared" si="11"/>
        <v>1</v>
      </c>
    </row>
    <row r="10" spans="2:30" x14ac:dyDescent="0.35">
      <c r="B10" s="15" t="s">
        <v>5</v>
      </c>
      <c r="C10">
        <v>258861.04513888891</v>
      </c>
      <c r="D10">
        <v>596786.4930555555</v>
      </c>
      <c r="E10">
        <f t="shared" si="4"/>
        <v>0</v>
      </c>
      <c r="F10">
        <f t="shared" si="5"/>
        <v>0</v>
      </c>
      <c r="G10">
        <f t="shared" si="6"/>
        <v>0</v>
      </c>
      <c r="H10">
        <f t="shared" si="7"/>
        <v>1</v>
      </c>
      <c r="I10" s="11"/>
      <c r="J10">
        <v>3.8154361312657974E-2</v>
      </c>
      <c r="K10">
        <v>4.8588399269420282E-2</v>
      </c>
      <c r="L10">
        <f t="shared" si="8"/>
        <v>1</v>
      </c>
      <c r="M10">
        <f t="shared" si="0"/>
        <v>1</v>
      </c>
      <c r="N10">
        <f t="shared" si="1"/>
        <v>0</v>
      </c>
      <c r="P10" s="14">
        <f t="shared" si="2"/>
        <v>1</v>
      </c>
      <c r="Q10" s="35"/>
      <c r="R10">
        <v>0.62838087598872161</v>
      </c>
      <c r="S10">
        <v>0.94726724963263509</v>
      </c>
      <c r="U10">
        <v>75081.837293198871</v>
      </c>
      <c r="V10">
        <v>60105.178704763493</v>
      </c>
      <c r="W10">
        <f t="shared" si="3"/>
        <v>1</v>
      </c>
      <c r="Y10">
        <v>156245.1118848765</v>
      </c>
      <c r="Z10">
        <v>32883.196686605137</v>
      </c>
      <c r="AA10">
        <f t="shared" si="9"/>
        <v>0</v>
      </c>
      <c r="AB10">
        <f t="shared" si="10"/>
        <v>1</v>
      </c>
      <c r="AC10">
        <f>IF(AND(F10=0, (U10/Z10)*ABS(U10-Z10)&gt;1.05*(Y10/V10)*ABS(Y10-V10)),1,0)</f>
        <v>0</v>
      </c>
      <c r="AD10">
        <f t="shared" si="11"/>
        <v>0</v>
      </c>
    </row>
    <row r="11" spans="2:30" x14ac:dyDescent="0.35">
      <c r="B11" s="15" t="s">
        <v>6</v>
      </c>
      <c r="C11">
        <v>1651393.097023153</v>
      </c>
      <c r="D11">
        <v>949537.57662624039</v>
      </c>
      <c r="E11">
        <f t="shared" si="4"/>
        <v>1</v>
      </c>
      <c r="F11">
        <f t="shared" si="5"/>
        <v>0</v>
      </c>
      <c r="G11">
        <f t="shared" si="6"/>
        <v>0</v>
      </c>
      <c r="H11">
        <f t="shared" si="7"/>
        <v>1</v>
      </c>
      <c r="I11" s="11"/>
      <c r="J11">
        <v>4.1261272674424407E-2</v>
      </c>
      <c r="K11">
        <v>2.552458916200755E-2</v>
      </c>
      <c r="L11">
        <f t="shared" si="8"/>
        <v>0</v>
      </c>
      <c r="M11">
        <f t="shared" si="0"/>
        <v>0</v>
      </c>
      <c r="N11">
        <f t="shared" si="1"/>
        <v>1</v>
      </c>
      <c r="P11" s="14">
        <f t="shared" si="2"/>
        <v>0</v>
      </c>
      <c r="Q11" s="35"/>
      <c r="R11">
        <v>0.2421894150529911</v>
      </c>
      <c r="S11">
        <v>0.26662925941794319</v>
      </c>
      <c r="U11">
        <v>511398.10648417549</v>
      </c>
      <c r="V11">
        <v>177876.84273640899</v>
      </c>
      <c r="W11">
        <f t="shared" si="3"/>
        <v>1</v>
      </c>
      <c r="Y11">
        <v>299967.39947816147</v>
      </c>
      <c r="Z11">
        <v>261906.45073193131</v>
      </c>
      <c r="AA11">
        <f t="shared" si="9"/>
        <v>0</v>
      </c>
      <c r="AB11">
        <f t="shared" si="10"/>
        <v>0</v>
      </c>
      <c r="AC11">
        <f>IF(AND(F11=0, (U11/Z11)*ABS(U11-Z11)&gt;1.05*(Y11/V11)*ABS(Y11-V11)),1,0)</f>
        <v>1</v>
      </c>
      <c r="AD11">
        <f t="shared" si="11"/>
        <v>0</v>
      </c>
    </row>
    <row r="12" spans="2:30" x14ac:dyDescent="0.35">
      <c r="B12" s="15" t="s">
        <v>7</v>
      </c>
      <c r="C12">
        <v>1231757.6261808369</v>
      </c>
      <c r="D12">
        <v>1564113.823211876</v>
      </c>
      <c r="E12">
        <f t="shared" si="4"/>
        <v>0</v>
      </c>
      <c r="F12">
        <f t="shared" si="5"/>
        <v>0</v>
      </c>
      <c r="G12">
        <f t="shared" si="6"/>
        <v>0</v>
      </c>
      <c r="H12">
        <f t="shared" si="7"/>
        <v>1</v>
      </c>
      <c r="I12" s="11"/>
      <c r="J12">
        <v>3.7385925403052556E-3</v>
      </c>
      <c r="K12">
        <v>1.4818700181366074E-3</v>
      </c>
      <c r="L12">
        <f t="shared" si="8"/>
        <v>0</v>
      </c>
      <c r="M12">
        <f t="shared" si="0"/>
        <v>0</v>
      </c>
      <c r="N12">
        <f t="shared" si="1"/>
        <v>1</v>
      </c>
      <c r="P12" s="14">
        <f t="shared" si="2"/>
        <v>0</v>
      </c>
      <c r="Q12" s="35"/>
      <c r="R12">
        <v>4.9666961703140658E-4</v>
      </c>
      <c r="S12">
        <v>2.220936030152423E-6</v>
      </c>
      <c r="U12">
        <v>623177.26140049985</v>
      </c>
      <c r="V12">
        <v>321805.93781580438</v>
      </c>
      <c r="W12">
        <f t="shared" si="3"/>
        <v>1</v>
      </c>
      <c r="Y12">
        <v>723778.91251893202</v>
      </c>
      <c r="Z12">
        <v>256465.82762453341</v>
      </c>
      <c r="AA12">
        <f t="shared" si="9"/>
        <v>0</v>
      </c>
      <c r="AB12">
        <f t="shared" si="10"/>
        <v>0</v>
      </c>
      <c r="AC12">
        <f>IF(AND(F12=0, (U12/Z12)*ABS(U12-Z12)&gt;1.05*(Y12/V12)*ABS(Y12-V12)),1,0)</f>
        <v>0</v>
      </c>
      <c r="AD12">
        <f t="shared" si="11"/>
        <v>1</v>
      </c>
    </row>
    <row r="13" spans="2:30" x14ac:dyDescent="0.35">
      <c r="B13" s="15" t="s">
        <v>8</v>
      </c>
      <c r="C13">
        <v>1164888.2987872111</v>
      </c>
      <c r="D13">
        <v>1805948.584343991</v>
      </c>
      <c r="E13">
        <f t="shared" si="4"/>
        <v>0</v>
      </c>
      <c r="F13">
        <f t="shared" si="5"/>
        <v>0</v>
      </c>
      <c r="G13">
        <f t="shared" si="6"/>
        <v>0</v>
      </c>
      <c r="H13">
        <f t="shared" si="7"/>
        <v>1</v>
      </c>
      <c r="I13" s="11"/>
      <c r="J13">
        <v>1.1730222559474313E-2</v>
      </c>
      <c r="K13">
        <v>3.1206506267488526E-2</v>
      </c>
      <c r="L13">
        <f t="shared" si="8"/>
        <v>1</v>
      </c>
      <c r="M13">
        <f t="shared" si="0"/>
        <v>1</v>
      </c>
      <c r="N13">
        <f t="shared" si="1"/>
        <v>0</v>
      </c>
      <c r="P13" s="14">
        <f t="shared" si="2"/>
        <v>1</v>
      </c>
      <c r="Q13" s="35"/>
      <c r="R13">
        <v>6.9232872748910365E-2</v>
      </c>
      <c r="S13">
        <v>3.8788906521266701E-2</v>
      </c>
      <c r="U13">
        <v>340468.96764502738</v>
      </c>
      <c r="V13">
        <v>291895.53008110687</v>
      </c>
      <c r="W13">
        <f t="shared" si="3"/>
        <v>1</v>
      </c>
      <c r="Y13">
        <v>765113.16344027827</v>
      </c>
      <c r="Z13">
        <v>224550.09866231441</v>
      </c>
      <c r="AA13">
        <f t="shared" si="9"/>
        <v>0</v>
      </c>
      <c r="AB13">
        <f t="shared" si="10"/>
        <v>1</v>
      </c>
      <c r="AC13">
        <f>IF(AND(F13=0, (U13/Z13)*ABS(U13-Z13)&gt;1.05*(Y13/V13)*ABS(Y13-V13)),1,0)</f>
        <v>0</v>
      </c>
      <c r="AD13">
        <f t="shared" si="11"/>
        <v>0</v>
      </c>
    </row>
    <row r="14" spans="2:30" x14ac:dyDescent="0.35">
      <c r="B14" s="15" t="s">
        <v>9</v>
      </c>
      <c r="C14">
        <v>1110776.0573012941</v>
      </c>
      <c r="D14">
        <v>2269.7615526802219</v>
      </c>
      <c r="E14">
        <f t="shared" si="4"/>
        <v>1</v>
      </c>
      <c r="F14">
        <f t="shared" si="5"/>
        <v>1</v>
      </c>
      <c r="G14">
        <f t="shared" si="6"/>
        <v>0</v>
      </c>
      <c r="H14">
        <f t="shared" si="7"/>
        <v>0</v>
      </c>
      <c r="I14" s="11"/>
      <c r="J14">
        <v>7.252212350796032E-4</v>
      </c>
      <c r="K14">
        <v>0.12624826623582461</v>
      </c>
      <c r="L14">
        <f t="shared" si="8"/>
        <v>1</v>
      </c>
      <c r="M14">
        <f t="shared" si="0"/>
        <v>0</v>
      </c>
      <c r="N14">
        <f t="shared" si="1"/>
        <v>0</v>
      </c>
      <c r="P14" s="14">
        <f t="shared" si="2"/>
        <v>1</v>
      </c>
      <c r="Q14" s="35"/>
      <c r="R14">
        <v>1.4366812484308499E-4</v>
      </c>
      <c r="S14">
        <v>5.7524182288938817E-2</v>
      </c>
      <c r="U14">
        <v>484753.71553503518</v>
      </c>
      <c r="V14">
        <v>495.80626622004962</v>
      </c>
      <c r="W14">
        <f t="shared" si="3"/>
        <v>1</v>
      </c>
      <c r="Y14">
        <v>142.51545036160419</v>
      </c>
      <c r="Z14">
        <v>10677.039575658269</v>
      </c>
      <c r="AA14">
        <f t="shared" si="9"/>
        <v>1</v>
      </c>
      <c r="AB14">
        <f t="shared" si="10"/>
        <v>0</v>
      </c>
      <c r="AC14">
        <f>IF(AND(F14=0, (U14/Z14)*ABS(U14-Z14)&gt;1.05*(Y14/V14)*ABS(Y14-V14)),1,0)</f>
        <v>0</v>
      </c>
      <c r="AD14">
        <f t="shared" si="11"/>
        <v>1</v>
      </c>
    </row>
    <row r="15" spans="2:30" x14ac:dyDescent="0.35">
      <c r="B15" s="15" t="s">
        <v>10</v>
      </c>
      <c r="C15">
        <v>1594946.6214285709</v>
      </c>
      <c r="D15">
        <v>65077.346428571429</v>
      </c>
      <c r="E15">
        <f t="shared" si="4"/>
        <v>1</v>
      </c>
      <c r="F15">
        <f t="shared" si="5"/>
        <v>1</v>
      </c>
      <c r="G15">
        <f t="shared" si="6"/>
        <v>0</v>
      </c>
      <c r="H15">
        <f t="shared" si="7"/>
        <v>0</v>
      </c>
      <c r="I15" s="11"/>
      <c r="J15">
        <v>2.6265477825439847E-2</v>
      </c>
      <c r="K15">
        <v>5.4728156643443694E-2</v>
      </c>
      <c r="L15">
        <f t="shared" si="8"/>
        <v>1</v>
      </c>
      <c r="M15">
        <f t="shared" si="0"/>
        <v>0</v>
      </c>
      <c r="N15">
        <f t="shared" si="1"/>
        <v>0</v>
      </c>
      <c r="P15" s="14">
        <f t="shared" si="2"/>
        <v>1</v>
      </c>
      <c r="Q15" s="35"/>
      <c r="R15">
        <v>0.41192183942463989</v>
      </c>
      <c r="S15">
        <v>0.40541257347911408</v>
      </c>
      <c r="U15">
        <v>333816.84297048813</v>
      </c>
      <c r="V15">
        <v>10653.555345906079</v>
      </c>
      <c r="W15">
        <f t="shared" si="3"/>
        <v>1</v>
      </c>
      <c r="Y15">
        <v>8498.9366589092351</v>
      </c>
      <c r="Z15">
        <v>190907.31227274201</v>
      </c>
      <c r="AA15">
        <f t="shared" si="9"/>
        <v>1</v>
      </c>
      <c r="AB15">
        <f t="shared" si="10"/>
        <v>0</v>
      </c>
      <c r="AC15">
        <f>IF(AND(F15=0, (U15/Z15)*ABS(U15-Z15)&gt;1.05*(Y15/V15)*ABS(Y15-V15)),1,0)</f>
        <v>0</v>
      </c>
      <c r="AD15">
        <f t="shared" si="11"/>
        <v>1</v>
      </c>
    </row>
    <row r="16" spans="2:30" x14ac:dyDescent="0.35">
      <c r="B16" s="15" t="s">
        <v>11</v>
      </c>
      <c r="C16">
        <v>1573404.75464684</v>
      </c>
      <c r="D16">
        <v>1430100.3506815371</v>
      </c>
      <c r="E16">
        <f t="shared" si="4"/>
        <v>1</v>
      </c>
      <c r="F16">
        <f t="shared" si="5"/>
        <v>0</v>
      </c>
      <c r="G16">
        <f t="shared" si="6"/>
        <v>0</v>
      </c>
      <c r="H16">
        <f t="shared" si="7"/>
        <v>1</v>
      </c>
      <c r="I16" s="11"/>
      <c r="J16">
        <v>2.875967060463705E-2</v>
      </c>
      <c r="K16">
        <v>2.7929462532228996E-2</v>
      </c>
      <c r="L16">
        <f t="shared" si="8"/>
        <v>0</v>
      </c>
      <c r="M16">
        <f t="shared" si="0"/>
        <v>0</v>
      </c>
      <c r="N16">
        <f t="shared" si="1"/>
        <v>1</v>
      </c>
      <c r="P16" s="14">
        <f t="shared" si="2"/>
        <v>0</v>
      </c>
      <c r="Q16" s="35"/>
      <c r="R16">
        <v>0.31638893100703791</v>
      </c>
      <c r="S16">
        <v>0.18419065827775391</v>
      </c>
      <c r="U16">
        <v>528056.87703075155</v>
      </c>
      <c r="V16">
        <v>235322.01245702471</v>
      </c>
      <c r="W16">
        <f t="shared" si="3"/>
        <v>1</v>
      </c>
      <c r="Y16">
        <v>550500.55663121422</v>
      </c>
      <c r="Z16">
        <v>314623.38846386271</v>
      </c>
      <c r="AA16">
        <f t="shared" si="9"/>
        <v>0</v>
      </c>
      <c r="AB16">
        <f t="shared" si="10"/>
        <v>1</v>
      </c>
      <c r="AC16">
        <f>IF(AND(F16=0, (U16/Z16)*ABS(U16-Z16)&gt;1.05*(Y16/V16)*ABS(Y16-V16)),1,0)</f>
        <v>0</v>
      </c>
      <c r="AD16">
        <f t="shared" si="11"/>
        <v>0</v>
      </c>
    </row>
    <row r="17" spans="2:30" x14ac:dyDescent="0.35">
      <c r="B17" s="15" t="s">
        <v>12</v>
      </c>
      <c r="C17">
        <v>1706817.168687982</v>
      </c>
      <c r="D17">
        <v>1817614.1146637271</v>
      </c>
      <c r="E17">
        <f t="shared" si="4"/>
        <v>0</v>
      </c>
      <c r="F17">
        <f t="shared" si="5"/>
        <v>0</v>
      </c>
      <c r="G17">
        <f t="shared" si="6"/>
        <v>0</v>
      </c>
      <c r="H17">
        <f t="shared" si="7"/>
        <v>1</v>
      </c>
      <c r="I17" s="11"/>
      <c r="J17">
        <v>1.1836161595884761E-2</v>
      </c>
      <c r="K17">
        <v>2.8689873406631271E-2</v>
      </c>
      <c r="L17">
        <f t="shared" si="8"/>
        <v>1</v>
      </c>
      <c r="M17">
        <f t="shared" si="0"/>
        <v>1</v>
      </c>
      <c r="N17">
        <f t="shared" si="1"/>
        <v>0</v>
      </c>
      <c r="P17" s="14">
        <f t="shared" si="2"/>
        <v>1</v>
      </c>
      <c r="Q17" s="35"/>
      <c r="R17">
        <v>0.38645321735148941</v>
      </c>
      <c r="S17">
        <v>0.42878085934644888</v>
      </c>
      <c r="U17">
        <v>465249.08131528232</v>
      </c>
      <c r="V17">
        <v>299422.20204721508</v>
      </c>
      <c r="W17">
        <f t="shared" si="3"/>
        <v>1</v>
      </c>
      <c r="Y17">
        <v>441524.48168462171</v>
      </c>
      <c r="Z17">
        <v>214121.62626657909</v>
      </c>
      <c r="AA17">
        <f t="shared" si="9"/>
        <v>0</v>
      </c>
      <c r="AB17">
        <f t="shared" si="10"/>
        <v>0</v>
      </c>
      <c r="AC17">
        <f>IF(AND(F17=0, (U17/Z17)*ABS(U17-Z17)&gt;1.05*(Y17/V17)*ABS(Y17-V17)),1,0)</f>
        <v>1</v>
      </c>
      <c r="AD17">
        <f t="shared" si="11"/>
        <v>0</v>
      </c>
    </row>
    <row r="18" spans="2:30" x14ac:dyDescent="0.35">
      <c r="B18" s="15" t="s">
        <v>13</v>
      </c>
      <c r="C18">
        <v>1111773.975471698</v>
      </c>
      <c r="D18">
        <v>994606.2</v>
      </c>
      <c r="E18">
        <f t="shared" si="4"/>
        <v>1</v>
      </c>
      <c r="F18">
        <f t="shared" si="5"/>
        <v>0</v>
      </c>
      <c r="G18">
        <f t="shared" si="6"/>
        <v>0</v>
      </c>
      <c r="H18">
        <f t="shared" si="7"/>
        <v>1</v>
      </c>
      <c r="I18" s="11"/>
      <c r="J18">
        <v>1.6401755512489194E-2</v>
      </c>
      <c r="K18">
        <v>2.2200826197911361E-2</v>
      </c>
      <c r="L18">
        <f t="shared" si="8"/>
        <v>1</v>
      </c>
      <c r="M18">
        <f t="shared" si="0"/>
        <v>1</v>
      </c>
      <c r="N18">
        <f t="shared" si="1"/>
        <v>0</v>
      </c>
      <c r="P18" s="14">
        <f t="shared" si="2"/>
        <v>1</v>
      </c>
      <c r="Q18" s="35"/>
      <c r="R18">
        <v>0.37927355302132448</v>
      </c>
      <c r="S18">
        <v>0.34414735882755448</v>
      </c>
      <c r="U18">
        <v>357033.82534476422</v>
      </c>
      <c r="V18">
        <v>149604.09320119969</v>
      </c>
      <c r="W18">
        <f t="shared" si="3"/>
        <v>1</v>
      </c>
      <c r="Y18">
        <v>258929.55279908539</v>
      </c>
      <c r="Z18">
        <v>185552.04704074789</v>
      </c>
      <c r="AA18">
        <f t="shared" si="9"/>
        <v>0</v>
      </c>
      <c r="AB18">
        <f t="shared" si="10"/>
        <v>0</v>
      </c>
      <c r="AC18">
        <f>IF(AND(F18=0, (U18/Z18)*ABS(U18-Z18)&gt;1.05*(Y18/V18)*ABS(Y18-V18)),1,0)</f>
        <v>1</v>
      </c>
      <c r="AD18">
        <f t="shared" si="11"/>
        <v>0</v>
      </c>
    </row>
    <row r="19" spans="2:30" x14ac:dyDescent="0.35">
      <c r="B19" s="15" t="s">
        <v>14</v>
      </c>
      <c r="C19">
        <v>1017193.998113208</v>
      </c>
      <c r="D19">
        <v>1119508.560377358</v>
      </c>
      <c r="E19">
        <f t="shared" si="4"/>
        <v>0</v>
      </c>
      <c r="F19">
        <f t="shared" si="5"/>
        <v>0</v>
      </c>
      <c r="G19">
        <f t="shared" si="6"/>
        <v>0</v>
      </c>
      <c r="H19">
        <f t="shared" si="7"/>
        <v>1</v>
      </c>
      <c r="I19" s="11"/>
      <c r="J19">
        <v>1.3781859972161463E-2</v>
      </c>
      <c r="K19">
        <v>1.8846576676325721E-2</v>
      </c>
      <c r="L19">
        <f t="shared" si="8"/>
        <v>1</v>
      </c>
      <c r="M19">
        <f t="shared" si="0"/>
        <v>1</v>
      </c>
      <c r="N19">
        <f t="shared" si="1"/>
        <v>0</v>
      </c>
      <c r="P19" s="14">
        <f t="shared" si="2"/>
        <v>1</v>
      </c>
      <c r="Q19" s="35"/>
      <c r="R19">
        <v>7.3923129346041366E-2</v>
      </c>
      <c r="S19">
        <v>7.9744538688108837E-2</v>
      </c>
      <c r="U19">
        <v>381402.86410041992</v>
      </c>
      <c r="V19">
        <v>216664.60043306829</v>
      </c>
      <c r="W19">
        <f t="shared" si="3"/>
        <v>1</v>
      </c>
      <c r="Y19">
        <v>477747.03668095142</v>
      </c>
      <c r="Z19">
        <v>201848.48735906021</v>
      </c>
      <c r="AA19">
        <f t="shared" si="9"/>
        <v>0</v>
      </c>
      <c r="AB19">
        <f t="shared" si="10"/>
        <v>1</v>
      </c>
      <c r="AC19">
        <f>IF(AND(F19=0, (U19/Z19)*ABS(U19-Z19)&gt;1.05*(Y19/V19)*ABS(Y19-V19)),1,0)</f>
        <v>0</v>
      </c>
      <c r="AD19">
        <f t="shared" si="11"/>
        <v>0</v>
      </c>
    </row>
    <row r="20" spans="2:30" x14ac:dyDescent="0.35">
      <c r="B20" s="15" t="s">
        <v>15</v>
      </c>
      <c r="C20">
        <v>1137572.6602451841</v>
      </c>
      <c r="D20">
        <v>4555.7828371278456</v>
      </c>
      <c r="E20">
        <f t="shared" si="4"/>
        <v>1</v>
      </c>
      <c r="F20">
        <f t="shared" si="5"/>
        <v>1</v>
      </c>
      <c r="G20">
        <f t="shared" si="6"/>
        <v>0</v>
      </c>
      <c r="H20">
        <f t="shared" si="7"/>
        <v>0</v>
      </c>
      <c r="I20" s="11"/>
      <c r="J20">
        <v>2.4235707471747008E-2</v>
      </c>
      <c r="K20">
        <v>8.3945300345804233E-2</v>
      </c>
      <c r="L20">
        <f t="shared" si="8"/>
        <v>1</v>
      </c>
      <c r="M20">
        <f t="shared" si="0"/>
        <v>0</v>
      </c>
      <c r="N20">
        <f t="shared" si="1"/>
        <v>0</v>
      </c>
      <c r="P20" s="14">
        <f t="shared" si="2"/>
        <v>1</v>
      </c>
      <c r="Q20" s="35"/>
      <c r="R20">
        <v>0.81625600476825633</v>
      </c>
      <c r="S20">
        <v>0.94605493447816291</v>
      </c>
      <c r="U20">
        <v>140411.7645956027</v>
      </c>
      <c r="V20">
        <v>391.42449240002247</v>
      </c>
      <c r="W20">
        <f t="shared" si="3"/>
        <v>1</v>
      </c>
      <c r="Y20">
        <v>69.864160033514892</v>
      </c>
      <c r="Z20">
        <v>14898.94092970036</v>
      </c>
      <c r="AA20">
        <f t="shared" si="9"/>
        <v>1</v>
      </c>
      <c r="AB20">
        <f t="shared" si="10"/>
        <v>0</v>
      </c>
      <c r="AC20">
        <f>IF(AND(F20=0, (U20/Z20)*ABS(U20-Z20)&gt;1.05*(Y20/V20)*ABS(Y20-V20)),1,0)</f>
        <v>0</v>
      </c>
      <c r="AD20">
        <f t="shared" si="11"/>
        <v>1</v>
      </c>
    </row>
    <row r="21" spans="2:30" x14ac:dyDescent="0.35">
      <c r="B21" s="15" t="s">
        <v>16</v>
      </c>
      <c r="C21">
        <v>1103682.0485115771</v>
      </c>
      <c r="D21">
        <v>1110865.421168688</v>
      </c>
      <c r="E21">
        <f t="shared" si="4"/>
        <v>0</v>
      </c>
      <c r="F21">
        <f t="shared" si="5"/>
        <v>0</v>
      </c>
      <c r="G21">
        <f t="shared" si="6"/>
        <v>0</v>
      </c>
      <c r="H21">
        <f t="shared" si="7"/>
        <v>1</v>
      </c>
      <c r="I21" s="11"/>
      <c r="J21">
        <v>3.760782607306036E-3</v>
      </c>
      <c r="K21">
        <v>1.3679730899847065E-3</v>
      </c>
      <c r="L21">
        <f t="shared" si="8"/>
        <v>0</v>
      </c>
      <c r="M21">
        <f t="shared" si="0"/>
        <v>0</v>
      </c>
      <c r="N21">
        <f t="shared" si="1"/>
        <v>1</v>
      </c>
      <c r="P21" s="14">
        <f t="shared" si="2"/>
        <v>0</v>
      </c>
      <c r="Q21" s="35"/>
      <c r="R21">
        <v>5.4950178067198375E-4</v>
      </c>
      <c r="S21">
        <v>1.4042911255271651E-3</v>
      </c>
      <c r="U21">
        <v>448804.37015282939</v>
      </c>
      <c r="V21">
        <v>191811.31634641701</v>
      </c>
      <c r="W21">
        <f t="shared" si="3"/>
        <v>1</v>
      </c>
      <c r="Y21">
        <v>496291.51203996048</v>
      </c>
      <c r="Z21">
        <v>215553.2572454559</v>
      </c>
      <c r="AA21">
        <f t="shared" si="9"/>
        <v>0</v>
      </c>
      <c r="AB21">
        <f t="shared" si="10"/>
        <v>1</v>
      </c>
      <c r="AC21">
        <f>IF(AND(F21=0, (U21/Z21)*ABS(U21-Z21)&gt;1.05*(Y21/V21)*ABS(Y21-V21)),1,0)</f>
        <v>0</v>
      </c>
      <c r="AD21">
        <f t="shared" si="11"/>
        <v>0</v>
      </c>
    </row>
    <row r="22" spans="2:30" x14ac:dyDescent="0.35">
      <c r="B22" s="15" t="s">
        <v>17</v>
      </c>
      <c r="C22">
        <v>1038526.179245283</v>
      </c>
      <c r="D22">
        <v>798114.22830188682</v>
      </c>
      <c r="E22">
        <f t="shared" si="4"/>
        <v>1</v>
      </c>
      <c r="F22">
        <f t="shared" si="5"/>
        <v>0</v>
      </c>
      <c r="G22">
        <f t="shared" si="6"/>
        <v>0</v>
      </c>
      <c r="H22">
        <f t="shared" si="7"/>
        <v>1</v>
      </c>
      <c r="I22" s="11"/>
      <c r="J22">
        <v>1.7987042583431038E-2</v>
      </c>
      <c r="K22">
        <v>8.8898862668883739E-3</v>
      </c>
      <c r="L22">
        <f t="shared" si="8"/>
        <v>0</v>
      </c>
      <c r="M22">
        <f t="shared" si="0"/>
        <v>0</v>
      </c>
      <c r="N22">
        <f t="shared" si="1"/>
        <v>1</v>
      </c>
      <c r="P22" s="14">
        <f t="shared" si="2"/>
        <v>0</v>
      </c>
      <c r="Q22" s="35"/>
      <c r="R22">
        <v>1.859346500689488E-2</v>
      </c>
      <c r="S22">
        <v>1.008073726036857E-2</v>
      </c>
      <c r="U22">
        <v>441819.12058608059</v>
      </c>
      <c r="V22">
        <v>151215.0996336996</v>
      </c>
      <c r="W22">
        <f t="shared" si="3"/>
        <v>1</v>
      </c>
      <c r="Y22">
        <v>344687.11167180038</v>
      </c>
      <c r="Z22">
        <v>201992.10028194031</v>
      </c>
      <c r="AA22">
        <f t="shared" si="9"/>
        <v>0</v>
      </c>
      <c r="AB22">
        <f t="shared" si="10"/>
        <v>0</v>
      </c>
      <c r="AC22">
        <f>IF(AND(F22=0, (U22/Z22)*ABS(U22-Z22)&gt;1.05*(Y22/V22)*ABS(Y22-V22)),1,0)</f>
        <v>1</v>
      </c>
      <c r="AD22">
        <f t="shared" si="11"/>
        <v>0</v>
      </c>
    </row>
    <row r="23" spans="2:30" x14ac:dyDescent="0.35">
      <c r="B23" s="15" t="s">
        <v>18</v>
      </c>
      <c r="C23">
        <v>1060121.618867924</v>
      </c>
      <c r="D23">
        <v>1253852.6509433959</v>
      </c>
      <c r="E23">
        <f t="shared" si="4"/>
        <v>0</v>
      </c>
      <c r="F23">
        <f t="shared" si="5"/>
        <v>0</v>
      </c>
      <c r="G23">
        <f t="shared" si="6"/>
        <v>0</v>
      </c>
      <c r="H23">
        <f t="shared" si="7"/>
        <v>1</v>
      </c>
      <c r="I23" s="11"/>
      <c r="J23">
        <v>5.2384227303530789E-2</v>
      </c>
      <c r="K23">
        <v>3.5749355328808838E-2</v>
      </c>
      <c r="L23">
        <f t="shared" si="8"/>
        <v>0</v>
      </c>
      <c r="M23">
        <f t="shared" si="0"/>
        <v>0</v>
      </c>
      <c r="N23">
        <f t="shared" si="1"/>
        <v>1</v>
      </c>
      <c r="P23" s="14">
        <f t="shared" si="2"/>
        <v>0</v>
      </c>
      <c r="Q23" s="35"/>
      <c r="R23">
        <v>0.17467353294088689</v>
      </c>
      <c r="S23">
        <v>6.841858375011545E-4</v>
      </c>
      <c r="U23">
        <v>402689.88009131578</v>
      </c>
      <c r="V23">
        <v>240193.44174410959</v>
      </c>
      <c r="W23">
        <f t="shared" si="3"/>
        <v>1</v>
      </c>
      <c r="Y23">
        <v>473252.10765824589</v>
      </c>
      <c r="Z23">
        <v>210595.0280825166</v>
      </c>
      <c r="AA23">
        <f t="shared" si="9"/>
        <v>0</v>
      </c>
      <c r="AB23">
        <f t="shared" si="10"/>
        <v>1</v>
      </c>
      <c r="AC23">
        <f>IF(AND(F23=0, (U23/Z23)*ABS(U23-Z23)&gt;1.05*(Y23/V23)*ABS(Y23-V23)),1,0)</f>
        <v>0</v>
      </c>
      <c r="AD23">
        <f t="shared" si="11"/>
        <v>0</v>
      </c>
    </row>
    <row r="24" spans="2:30" x14ac:dyDescent="0.35">
      <c r="B24" s="15" t="s">
        <v>19</v>
      </c>
      <c r="C24">
        <v>979029.48194130929</v>
      </c>
      <c r="D24">
        <v>1152354.112866817</v>
      </c>
      <c r="E24">
        <f t="shared" si="4"/>
        <v>0</v>
      </c>
      <c r="F24">
        <f t="shared" si="5"/>
        <v>0</v>
      </c>
      <c r="G24">
        <f t="shared" si="6"/>
        <v>0</v>
      </c>
      <c r="H24">
        <f t="shared" si="7"/>
        <v>1</v>
      </c>
      <c r="I24" s="11"/>
      <c r="J24">
        <v>1.5123212119774727E-2</v>
      </c>
      <c r="K24">
        <v>2.6968847175816973E-2</v>
      </c>
      <c r="L24">
        <f t="shared" si="8"/>
        <v>1</v>
      </c>
      <c r="M24">
        <f t="shared" si="0"/>
        <v>1</v>
      </c>
      <c r="N24">
        <f t="shared" si="1"/>
        <v>0</v>
      </c>
      <c r="P24" s="14">
        <f t="shared" si="2"/>
        <v>1</v>
      </c>
      <c r="Q24" s="35"/>
      <c r="R24">
        <v>0.45400113065197761</v>
      </c>
      <c r="S24">
        <v>0.44067770081751712</v>
      </c>
      <c r="U24">
        <v>279275.5191336397</v>
      </c>
      <c r="V24">
        <v>190897.82190847609</v>
      </c>
      <c r="W24">
        <f t="shared" si="3"/>
        <v>1</v>
      </c>
      <c r="Y24">
        <v>360224.69428304367</v>
      </c>
      <c r="Z24">
        <v>154820.72291483681</v>
      </c>
      <c r="AA24">
        <f t="shared" si="9"/>
        <v>0</v>
      </c>
      <c r="AB24">
        <f t="shared" si="10"/>
        <v>1</v>
      </c>
      <c r="AC24">
        <f>IF(AND(F24=0, (U24/Z24)*ABS(U24-Z24)&gt;1.05*(Y24/V24)*ABS(Y24-V24)),1,0)</f>
        <v>0</v>
      </c>
      <c r="AD24">
        <f t="shared" si="11"/>
        <v>0</v>
      </c>
    </row>
    <row r="25" spans="2:30" x14ac:dyDescent="0.35">
      <c r="B25" s="15" t="s">
        <v>20</v>
      </c>
      <c r="C25">
        <v>1247835.6026587889</v>
      </c>
      <c r="D25">
        <v>46973.437223042827</v>
      </c>
      <c r="E25">
        <f t="shared" si="4"/>
        <v>1</v>
      </c>
      <c r="F25">
        <f t="shared" si="5"/>
        <v>1</v>
      </c>
      <c r="G25">
        <f t="shared" si="6"/>
        <v>0</v>
      </c>
      <c r="H25">
        <f t="shared" si="7"/>
        <v>0</v>
      </c>
      <c r="I25" s="11"/>
      <c r="J25">
        <v>2.338336233378354E-2</v>
      </c>
      <c r="K25">
        <v>1.1526863551260416E-2</v>
      </c>
      <c r="L25">
        <f t="shared" si="8"/>
        <v>0</v>
      </c>
      <c r="M25">
        <f t="shared" si="0"/>
        <v>0</v>
      </c>
      <c r="N25">
        <f t="shared" si="1"/>
        <v>0</v>
      </c>
      <c r="P25" s="14">
        <f t="shared" si="2"/>
        <v>1</v>
      </c>
      <c r="Q25" s="35"/>
      <c r="R25">
        <v>0.79314041088525644</v>
      </c>
      <c r="S25">
        <v>0.92805346227401886</v>
      </c>
      <c r="U25">
        <v>153186.96710425359</v>
      </c>
      <c r="V25">
        <v>4121.2343895362774</v>
      </c>
      <c r="W25">
        <f t="shared" si="3"/>
        <v>1</v>
      </c>
      <c r="Y25">
        <v>3469.021435621924</v>
      </c>
      <c r="Z25">
        <v>79841.241386174443</v>
      </c>
      <c r="AA25">
        <f t="shared" si="9"/>
        <v>1</v>
      </c>
      <c r="AB25">
        <f t="shared" si="10"/>
        <v>0</v>
      </c>
      <c r="AC25">
        <f>IF(AND(F25=0, (U25/Z25)*ABS(U25-Z25)&gt;1.05*(Y25/V25)*ABS(Y25-V25)),1,0)</f>
        <v>0</v>
      </c>
      <c r="AD25">
        <f t="shared" si="11"/>
        <v>1</v>
      </c>
    </row>
    <row r="26" spans="2:30" x14ac:dyDescent="0.35">
      <c r="B26" s="15" t="s">
        <v>21</v>
      </c>
      <c r="C26">
        <v>1674792.376136363</v>
      </c>
      <c r="D26">
        <v>1766781.435227273</v>
      </c>
      <c r="E26">
        <f t="shared" si="4"/>
        <v>0</v>
      </c>
      <c r="F26">
        <f t="shared" si="5"/>
        <v>0</v>
      </c>
      <c r="G26">
        <f t="shared" si="6"/>
        <v>0</v>
      </c>
      <c r="H26">
        <f t="shared" si="7"/>
        <v>1</v>
      </c>
      <c r="I26" s="11"/>
      <c r="J26">
        <v>7.0061485826120864E-3</v>
      </c>
      <c r="K26">
        <v>2.1660273562365443E-2</v>
      </c>
      <c r="L26">
        <f t="shared" si="8"/>
        <v>1</v>
      </c>
      <c r="M26">
        <f t="shared" si="0"/>
        <v>1</v>
      </c>
      <c r="N26">
        <f t="shared" si="1"/>
        <v>0</v>
      </c>
      <c r="P26" s="14">
        <f t="shared" si="2"/>
        <v>1</v>
      </c>
      <c r="Q26" s="35"/>
      <c r="R26">
        <v>4.0628698444512668E-2</v>
      </c>
      <c r="S26">
        <v>0.12473729557278609</v>
      </c>
      <c r="U26">
        <v>593194.64259141148</v>
      </c>
      <c r="V26">
        <v>325787.12628868892</v>
      </c>
      <c r="W26">
        <f t="shared" si="3"/>
        <v>1</v>
      </c>
      <c r="Y26">
        <v>674210.4781875835</v>
      </c>
      <c r="Z26">
        <v>292185.51200860413</v>
      </c>
      <c r="AA26">
        <f t="shared" si="9"/>
        <v>0</v>
      </c>
      <c r="AB26">
        <f t="shared" si="10"/>
        <v>1</v>
      </c>
      <c r="AC26">
        <f>IF(AND(F26=0, (U26/Z26)*ABS(U26-Z26)&gt;1.05*(Y26/V26)*ABS(Y26-V26)),1,0)</f>
        <v>0</v>
      </c>
      <c r="AD26">
        <f t="shared" si="11"/>
        <v>0</v>
      </c>
    </row>
    <row r="27" spans="2:30" x14ac:dyDescent="0.35">
      <c r="B27" s="15" t="s">
        <v>22</v>
      </c>
      <c r="C27">
        <v>1032290.201886792</v>
      </c>
      <c r="D27">
        <v>883056.18490566034</v>
      </c>
      <c r="E27">
        <f t="shared" si="4"/>
        <v>1</v>
      </c>
      <c r="F27">
        <f t="shared" si="5"/>
        <v>0</v>
      </c>
      <c r="G27">
        <f t="shared" si="6"/>
        <v>0</v>
      </c>
      <c r="H27">
        <f t="shared" si="7"/>
        <v>1</v>
      </c>
      <c r="I27" s="11"/>
      <c r="J27">
        <v>4.1584701478583126E-2</v>
      </c>
      <c r="K27">
        <v>7.3819689086911222E-2</v>
      </c>
      <c r="L27">
        <f t="shared" si="8"/>
        <v>1</v>
      </c>
      <c r="M27">
        <f t="shared" si="0"/>
        <v>1</v>
      </c>
      <c r="N27">
        <f t="shared" si="1"/>
        <v>0</v>
      </c>
      <c r="P27" s="14">
        <f t="shared" si="2"/>
        <v>1</v>
      </c>
      <c r="Q27" s="35"/>
      <c r="R27">
        <v>7.3171030616025035E-2</v>
      </c>
      <c r="S27">
        <v>6.9880296262195496E-2</v>
      </c>
      <c r="U27">
        <v>386080.11219120497</v>
      </c>
      <c r="V27">
        <v>163334.65536217261</v>
      </c>
      <c r="W27">
        <f t="shared" si="3"/>
        <v>1</v>
      </c>
      <c r="Y27">
        <v>364682.41146810079</v>
      </c>
      <c r="Z27">
        <v>184515.206324692</v>
      </c>
      <c r="AA27">
        <f t="shared" si="9"/>
        <v>0</v>
      </c>
      <c r="AB27">
        <f t="shared" si="10"/>
        <v>1</v>
      </c>
      <c r="AC27">
        <f>IF(AND(F27=0, (U27/Z27)*ABS(U27-Z27)&gt;1.05*(Y27/V27)*ABS(Y27-V27)),1,0)</f>
        <v>0</v>
      </c>
      <c r="AD27">
        <f t="shared" si="11"/>
        <v>0</v>
      </c>
    </row>
    <row r="28" spans="2:30" x14ac:dyDescent="0.35">
      <c r="B28" s="15" t="s">
        <v>23</v>
      </c>
      <c r="C28">
        <v>1003368.39527559</v>
      </c>
      <c r="D28">
        <v>74156.725984251971</v>
      </c>
      <c r="E28">
        <f t="shared" si="4"/>
        <v>1</v>
      </c>
      <c r="F28">
        <f t="shared" si="5"/>
        <v>1</v>
      </c>
      <c r="G28">
        <f t="shared" si="6"/>
        <v>0</v>
      </c>
      <c r="H28">
        <f t="shared" si="7"/>
        <v>0</v>
      </c>
      <c r="I28" s="11"/>
      <c r="J28">
        <v>1.7799367285177071E-3</v>
      </c>
      <c r="K28">
        <v>3.4284478612413335E-2</v>
      </c>
      <c r="L28">
        <f t="shared" si="8"/>
        <v>1</v>
      </c>
      <c r="M28">
        <f t="shared" si="0"/>
        <v>0</v>
      </c>
      <c r="N28">
        <f t="shared" si="1"/>
        <v>0</v>
      </c>
      <c r="P28" s="14">
        <f t="shared" si="2"/>
        <v>1</v>
      </c>
      <c r="Q28" s="35"/>
      <c r="R28">
        <v>4.2464178038242398E-5</v>
      </c>
      <c r="S28">
        <v>0.58694078312889453</v>
      </c>
      <c r="U28">
        <v>435528.74843061948</v>
      </c>
      <c r="V28">
        <v>15106.36967229903</v>
      </c>
      <c r="W28">
        <f t="shared" si="3"/>
        <v>1</v>
      </c>
      <c r="Y28">
        <v>10801.525919770989</v>
      </c>
      <c r="Z28">
        <v>109493.5688393733</v>
      </c>
      <c r="AA28">
        <f t="shared" si="9"/>
        <v>1</v>
      </c>
      <c r="AB28">
        <f t="shared" si="10"/>
        <v>0</v>
      </c>
      <c r="AC28">
        <f>IF(AND(F28=0, (U28/Z28)*ABS(U28-Z28)&gt;1.05*(Y28/V28)*ABS(Y28-V28)),1,0)</f>
        <v>0</v>
      </c>
      <c r="AD28">
        <f t="shared" si="11"/>
        <v>1</v>
      </c>
    </row>
    <row r="29" spans="2:30" x14ac:dyDescent="0.35">
      <c r="B29" s="15" t="s">
        <v>24</v>
      </c>
      <c r="C29">
        <v>1055583.463541667</v>
      </c>
      <c r="D29">
        <v>971877.8524305555</v>
      </c>
      <c r="E29">
        <f t="shared" si="4"/>
        <v>1</v>
      </c>
      <c r="F29">
        <f t="shared" si="5"/>
        <v>0</v>
      </c>
      <c r="G29">
        <f t="shared" si="6"/>
        <v>0</v>
      </c>
      <c r="H29">
        <f t="shared" si="7"/>
        <v>1</v>
      </c>
      <c r="I29" s="11"/>
      <c r="J29">
        <v>1.2268160867689512E-2</v>
      </c>
      <c r="K29">
        <v>4.706335624268896E-2</v>
      </c>
      <c r="L29">
        <f t="shared" si="8"/>
        <v>1</v>
      </c>
      <c r="M29">
        <f t="shared" si="0"/>
        <v>1</v>
      </c>
      <c r="N29">
        <f t="shared" si="1"/>
        <v>0</v>
      </c>
      <c r="P29" s="14">
        <f t="shared" si="2"/>
        <v>1</v>
      </c>
      <c r="Q29" s="35"/>
      <c r="R29">
        <v>0.40615434613362172</v>
      </c>
      <c r="S29">
        <v>0.119506975782917</v>
      </c>
      <c r="U29">
        <v>321051.85894166981</v>
      </c>
      <c r="V29">
        <v>167210.22016827489</v>
      </c>
      <c r="W29">
        <f t="shared" si="3"/>
        <v>1</v>
      </c>
      <c r="Y29">
        <v>307795.51535437192</v>
      </c>
      <c r="Z29">
        <v>192811.26944091541</v>
      </c>
      <c r="AA29">
        <f t="shared" si="9"/>
        <v>0</v>
      </c>
      <c r="AB29">
        <f t="shared" si="10"/>
        <v>1</v>
      </c>
      <c r="AC29">
        <f>IF(AND(F29=0, (U29/Z29)*ABS(U29-Z29)&gt;1.05*(Y29/V29)*ABS(Y29-V29)),1,0)</f>
        <v>0</v>
      </c>
      <c r="AD29">
        <f t="shared" si="11"/>
        <v>0</v>
      </c>
    </row>
    <row r="30" spans="2:30" x14ac:dyDescent="0.35">
      <c r="B30" s="15" t="s">
        <v>25</v>
      </c>
      <c r="C30">
        <v>1427192.3509433961</v>
      </c>
      <c r="D30">
        <v>1170648.560377358</v>
      </c>
      <c r="E30">
        <f t="shared" si="4"/>
        <v>1</v>
      </c>
      <c r="F30">
        <f t="shared" si="5"/>
        <v>0</v>
      </c>
      <c r="G30">
        <f t="shared" si="6"/>
        <v>0</v>
      </c>
      <c r="H30">
        <f t="shared" si="7"/>
        <v>1</v>
      </c>
      <c r="I30" s="11"/>
      <c r="J30">
        <v>2.2008266093952608E-2</v>
      </c>
      <c r="K30">
        <v>3.420759269467237E-2</v>
      </c>
      <c r="L30">
        <f t="shared" si="8"/>
        <v>1</v>
      </c>
      <c r="M30">
        <f t="shared" si="0"/>
        <v>1</v>
      </c>
      <c r="N30">
        <f t="shared" si="1"/>
        <v>0</v>
      </c>
      <c r="P30" s="14">
        <f t="shared" si="2"/>
        <v>1</v>
      </c>
      <c r="Q30" s="35"/>
      <c r="R30">
        <v>0.23037385384711939</v>
      </c>
      <c r="S30">
        <v>0.13994623070137421</v>
      </c>
      <c r="U30">
        <v>464263.40114196908</v>
      </c>
      <c r="V30">
        <v>186096.52441477409</v>
      </c>
      <c r="W30">
        <f t="shared" si="3"/>
        <v>1</v>
      </c>
      <c r="Y30">
        <v>432683.6389398037</v>
      </c>
      <c r="Z30">
        <v>266842.11985140509</v>
      </c>
      <c r="AA30">
        <f t="shared" si="9"/>
        <v>0</v>
      </c>
      <c r="AB30">
        <f t="shared" si="10"/>
        <v>1</v>
      </c>
      <c r="AC30">
        <f>IF(AND(F30=0, (U30/Z30)*ABS(U30-Z30)&gt;1.05*(Y30/V30)*ABS(Y30-V30)),1,0)</f>
        <v>0</v>
      </c>
      <c r="AD30">
        <f t="shared" si="11"/>
        <v>0</v>
      </c>
    </row>
    <row r="31" spans="2:30" x14ac:dyDescent="0.35">
      <c r="B31" s="15" t="s">
        <v>26</v>
      </c>
      <c r="C31">
        <v>1109720.8264150941</v>
      </c>
      <c r="D31">
        <v>984995.40377358487</v>
      </c>
      <c r="E31">
        <f t="shared" si="4"/>
        <v>1</v>
      </c>
      <c r="F31">
        <f t="shared" si="5"/>
        <v>0</v>
      </c>
      <c r="G31">
        <f t="shared" si="6"/>
        <v>0</v>
      </c>
      <c r="H31">
        <f t="shared" si="7"/>
        <v>1</v>
      </c>
      <c r="I31" s="11"/>
      <c r="J31">
        <v>5.4776399251691013E-3</v>
      </c>
      <c r="K31">
        <v>6.4093830259639925E-2</v>
      </c>
      <c r="L31">
        <f t="shared" si="8"/>
        <v>1</v>
      </c>
      <c r="M31">
        <f t="shared" si="0"/>
        <v>1</v>
      </c>
      <c r="N31">
        <f t="shared" si="1"/>
        <v>0</v>
      </c>
      <c r="P31" s="14">
        <f t="shared" si="2"/>
        <v>1</v>
      </c>
      <c r="Q31" s="35"/>
      <c r="R31">
        <v>3.3461373785572878E-3</v>
      </c>
      <c r="S31">
        <v>6.8627317295375273E-2</v>
      </c>
      <c r="U31">
        <v>455724.50906653429</v>
      </c>
      <c r="V31">
        <v>159143.7244802363</v>
      </c>
      <c r="W31">
        <f t="shared" si="3"/>
        <v>1</v>
      </c>
      <c r="Y31">
        <v>395391.84388648393</v>
      </c>
      <c r="Z31">
        <v>180138.53721147051</v>
      </c>
      <c r="AA31">
        <f t="shared" si="9"/>
        <v>0</v>
      </c>
      <c r="AB31">
        <f t="shared" si="10"/>
        <v>0</v>
      </c>
      <c r="AC31">
        <f>IF(AND(F31=0, (U31/Z31)*ABS(U31-Z31)&gt;1.05*(Y31/V31)*ABS(Y31-V31)),1,0)</f>
        <v>1</v>
      </c>
      <c r="AD31">
        <f t="shared" si="11"/>
        <v>0</v>
      </c>
    </row>
    <row r="32" spans="2:30" x14ac:dyDescent="0.35">
      <c r="B32" s="15" t="s">
        <v>27</v>
      </c>
      <c r="C32">
        <v>910638.58333333326</v>
      </c>
      <c r="D32">
        <v>1200158.7977941181</v>
      </c>
      <c r="E32">
        <f t="shared" si="4"/>
        <v>0</v>
      </c>
      <c r="F32">
        <f t="shared" si="5"/>
        <v>0</v>
      </c>
      <c r="G32">
        <f t="shared" si="6"/>
        <v>0</v>
      </c>
      <c r="H32">
        <f t="shared" si="7"/>
        <v>1</v>
      </c>
      <c r="I32" s="11"/>
      <c r="J32">
        <v>2.2517289068681614E-3</v>
      </c>
      <c r="K32">
        <v>5.4493895863447224E-2</v>
      </c>
      <c r="L32">
        <f t="shared" si="8"/>
        <v>1</v>
      </c>
      <c r="M32">
        <f t="shared" si="0"/>
        <v>1</v>
      </c>
      <c r="N32">
        <f t="shared" si="1"/>
        <v>0</v>
      </c>
      <c r="P32" s="14">
        <f t="shared" si="2"/>
        <v>1</v>
      </c>
      <c r="Q32" s="35"/>
      <c r="R32">
        <v>2.2970563396549529E-2</v>
      </c>
      <c r="S32">
        <v>3.7051440164276792E-2</v>
      </c>
      <c r="U32">
        <v>476238.66909193457</v>
      </c>
      <c r="V32">
        <v>232747.90892811361</v>
      </c>
      <c r="W32">
        <f t="shared" si="3"/>
        <v>1</v>
      </c>
      <c r="Y32">
        <v>532983.2731424938</v>
      </c>
      <c r="Z32">
        <v>160417.73433921271</v>
      </c>
      <c r="AA32">
        <f t="shared" si="9"/>
        <v>0</v>
      </c>
      <c r="AB32">
        <f t="shared" si="10"/>
        <v>0</v>
      </c>
      <c r="AC32">
        <f>IF(AND(F32=0, (U32/Z32)*ABS(U32-Z32)&gt;1.05*(Y32/V32)*ABS(Y32-V32)),1,0)</f>
        <v>1</v>
      </c>
      <c r="AD32">
        <f t="shared" si="11"/>
        <v>0</v>
      </c>
    </row>
    <row r="33" spans="2:30" x14ac:dyDescent="0.35">
      <c r="B33" s="15" t="s">
        <v>28</v>
      </c>
      <c r="C33">
        <v>1022726.283636364</v>
      </c>
      <c r="D33">
        <v>483365.55818181823</v>
      </c>
      <c r="E33">
        <f t="shared" si="4"/>
        <v>1</v>
      </c>
      <c r="F33">
        <f t="shared" si="5"/>
        <v>0</v>
      </c>
      <c r="G33">
        <f t="shared" si="6"/>
        <v>0</v>
      </c>
      <c r="H33">
        <f t="shared" si="7"/>
        <v>1</v>
      </c>
      <c r="I33" s="11"/>
      <c r="J33">
        <v>3.5848705985824007E-2</v>
      </c>
      <c r="K33">
        <v>4.2124978362375956E-3</v>
      </c>
      <c r="L33">
        <f t="shared" si="8"/>
        <v>0</v>
      </c>
      <c r="M33">
        <f t="shared" si="0"/>
        <v>0</v>
      </c>
      <c r="N33">
        <f t="shared" si="1"/>
        <v>1</v>
      </c>
      <c r="P33" s="14">
        <f t="shared" si="2"/>
        <v>0</v>
      </c>
      <c r="Q33" s="35"/>
      <c r="R33">
        <v>0.50517622050726985</v>
      </c>
      <c r="S33">
        <v>1.1522591690668559E-2</v>
      </c>
      <c r="U33">
        <v>310092.51827870321</v>
      </c>
      <c r="V33">
        <v>95636.96133751134</v>
      </c>
      <c r="W33">
        <f t="shared" si="3"/>
        <v>1</v>
      </c>
      <c r="Y33">
        <v>110367.65059933539</v>
      </c>
      <c r="Z33">
        <v>161160.35773452561</v>
      </c>
      <c r="AA33">
        <f t="shared" si="9"/>
        <v>1</v>
      </c>
      <c r="AB33">
        <f t="shared" si="10"/>
        <v>0</v>
      </c>
      <c r="AC33">
        <f>IF(AND(F33=0, (U33/Z33)*ABS(U33-Z33)&gt;1.05*(Y33/V33)*ABS(Y33-V33)),1,0)</f>
        <v>1</v>
      </c>
      <c r="AD33">
        <f t="shared" si="11"/>
        <v>0</v>
      </c>
    </row>
    <row r="34" spans="2:30" x14ac:dyDescent="0.35">
      <c r="B34" s="15" t="s">
        <v>29</v>
      </c>
      <c r="C34">
        <v>599272.78486055776</v>
      </c>
      <c r="D34">
        <v>56501.507968127487</v>
      </c>
      <c r="E34">
        <f t="shared" si="4"/>
        <v>1</v>
      </c>
      <c r="F34">
        <f t="shared" si="5"/>
        <v>1</v>
      </c>
      <c r="G34">
        <f t="shared" si="6"/>
        <v>0</v>
      </c>
      <c r="H34">
        <f t="shared" si="7"/>
        <v>0</v>
      </c>
      <c r="I34" s="11"/>
      <c r="J34">
        <v>2.3835285454878487E-2</v>
      </c>
      <c r="K34">
        <v>1.7360199663497885E-2</v>
      </c>
      <c r="L34">
        <f t="shared" si="8"/>
        <v>0</v>
      </c>
      <c r="M34">
        <f t="shared" si="0"/>
        <v>0</v>
      </c>
      <c r="N34">
        <f t="shared" si="1"/>
        <v>0</v>
      </c>
      <c r="P34" s="14">
        <f t="shared" si="2"/>
        <v>1</v>
      </c>
      <c r="Q34" s="35"/>
      <c r="R34">
        <v>0.45612792660747598</v>
      </c>
      <c r="S34">
        <v>0.19739080143540369</v>
      </c>
      <c r="U34">
        <v>139315.33940756111</v>
      </c>
      <c r="V34">
        <v>8493.0078591187521</v>
      </c>
      <c r="W34">
        <f t="shared" si="3"/>
        <v>1</v>
      </c>
      <c r="Y34">
        <v>8511.7616017604432</v>
      </c>
      <c r="Z34">
        <v>76490.737196703558</v>
      </c>
      <c r="AA34">
        <f t="shared" si="9"/>
        <v>1</v>
      </c>
      <c r="AB34">
        <f t="shared" si="10"/>
        <v>0</v>
      </c>
      <c r="AC34">
        <f>IF(AND(F34=0, (U34/Z34)*ABS(U34-Z34)&gt;1.05*(Y34/V34)*ABS(Y34-V34)),1,0)</f>
        <v>0</v>
      </c>
      <c r="AD34">
        <f t="shared" si="11"/>
        <v>1</v>
      </c>
    </row>
    <row r="35" spans="2:30" x14ac:dyDescent="0.35">
      <c r="B35" s="15" t="s">
        <v>30</v>
      </c>
      <c r="C35">
        <v>2286336.537760417</v>
      </c>
      <c r="D35">
        <v>1363.1875</v>
      </c>
      <c r="E35">
        <f t="shared" si="4"/>
        <v>1</v>
      </c>
      <c r="F35">
        <f t="shared" si="5"/>
        <v>1</v>
      </c>
      <c r="G35">
        <f t="shared" si="6"/>
        <v>0</v>
      </c>
      <c r="H35">
        <f t="shared" si="7"/>
        <v>0</v>
      </c>
      <c r="I35" s="11"/>
      <c r="J35">
        <v>9.7770616002149286E-4</v>
      </c>
      <c r="K35">
        <v>9.9945740294442878E-2</v>
      </c>
      <c r="L35">
        <f t="shared" si="8"/>
        <v>1</v>
      </c>
      <c r="M35">
        <f t="shared" si="0"/>
        <v>0</v>
      </c>
      <c r="N35">
        <f t="shared" si="1"/>
        <v>0</v>
      </c>
      <c r="P35" s="14">
        <f t="shared" si="2"/>
        <v>1</v>
      </c>
      <c r="Q35" s="35"/>
      <c r="R35">
        <v>4.8890769960079081E-3</v>
      </c>
      <c r="S35">
        <v>0.30012469324411212</v>
      </c>
      <c r="U35">
        <v>533569.37338777189</v>
      </c>
      <c r="V35">
        <v>192.923577227869</v>
      </c>
      <c r="W35">
        <f t="shared" si="3"/>
        <v>1</v>
      </c>
      <c r="Y35">
        <v>12.5</v>
      </c>
      <c r="Z35">
        <v>2742.775000000001</v>
      </c>
      <c r="AA35">
        <f t="shared" si="9"/>
        <v>1</v>
      </c>
      <c r="AB35">
        <f t="shared" si="10"/>
        <v>0</v>
      </c>
      <c r="AC35">
        <f>IF(AND(F35=0, (U35/Z35)*ABS(U35-Z35)&gt;1.05*(Y35/V35)*ABS(Y35-V35)),1,0)</f>
        <v>0</v>
      </c>
      <c r="AD35">
        <f t="shared" si="11"/>
        <v>1</v>
      </c>
    </row>
    <row r="36" spans="2:30" x14ac:dyDescent="0.35">
      <c r="B36" s="15" t="s">
        <v>31</v>
      </c>
      <c r="C36">
        <v>1351087.2816593889</v>
      </c>
      <c r="D36">
        <v>1221051.9770742359</v>
      </c>
      <c r="E36">
        <f t="shared" si="4"/>
        <v>1</v>
      </c>
      <c r="F36">
        <f t="shared" si="5"/>
        <v>0</v>
      </c>
      <c r="G36">
        <f t="shared" si="6"/>
        <v>0</v>
      </c>
      <c r="H36">
        <f t="shared" si="7"/>
        <v>1</v>
      </c>
      <c r="I36" s="11"/>
      <c r="J36">
        <v>2.2033528509533006E-2</v>
      </c>
      <c r="K36">
        <v>3.6200529122719545E-2</v>
      </c>
      <c r="L36">
        <f t="shared" si="8"/>
        <v>1</v>
      </c>
      <c r="M36">
        <f t="shared" si="0"/>
        <v>1</v>
      </c>
      <c r="N36">
        <f t="shared" si="1"/>
        <v>0</v>
      </c>
      <c r="P36" s="14">
        <f t="shared" si="2"/>
        <v>1</v>
      </c>
      <c r="Q36" s="35"/>
      <c r="R36">
        <v>0.13710789337190679</v>
      </c>
      <c r="S36">
        <v>8.991310645194496E-2</v>
      </c>
      <c r="U36">
        <v>484590.29039215198</v>
      </c>
      <c r="V36">
        <v>200951.8130107077</v>
      </c>
      <c r="W36">
        <f t="shared" si="3"/>
        <v>1</v>
      </c>
      <c r="Y36">
        <v>449027.44057171198</v>
      </c>
      <c r="Z36">
        <v>242317.67251831439</v>
      </c>
      <c r="AA36">
        <f t="shared" si="9"/>
        <v>0</v>
      </c>
      <c r="AB36">
        <f t="shared" si="10"/>
        <v>1</v>
      </c>
      <c r="AC36">
        <f>IF(AND(F36=0, (U36/Z36)*ABS(U36-Z36)&gt;1.05*(Y36/V36)*ABS(Y36-V36)),1,0)</f>
        <v>0</v>
      </c>
      <c r="AD36">
        <f t="shared" si="11"/>
        <v>0</v>
      </c>
    </row>
    <row r="37" spans="2:30" x14ac:dyDescent="0.35">
      <c r="B37" s="15" t="s">
        <v>32</v>
      </c>
      <c r="C37">
        <v>1669400.9785794809</v>
      </c>
      <c r="D37">
        <v>93188.615558060876</v>
      </c>
      <c r="E37">
        <f t="shared" si="4"/>
        <v>1</v>
      </c>
      <c r="F37">
        <f t="shared" si="5"/>
        <v>1</v>
      </c>
      <c r="G37">
        <f t="shared" si="6"/>
        <v>0</v>
      </c>
      <c r="H37">
        <f t="shared" si="7"/>
        <v>0</v>
      </c>
      <c r="I37" s="11"/>
      <c r="J37">
        <v>1.6722621062790297E-2</v>
      </c>
      <c r="K37">
        <v>5.3160770970459716E-2</v>
      </c>
      <c r="L37">
        <f t="shared" si="8"/>
        <v>1</v>
      </c>
      <c r="M37">
        <f t="shared" si="0"/>
        <v>0</v>
      </c>
      <c r="N37">
        <f t="shared" si="1"/>
        <v>0</v>
      </c>
      <c r="P37" s="14">
        <f t="shared" si="2"/>
        <v>1</v>
      </c>
      <c r="Q37" s="35"/>
      <c r="R37">
        <v>0.19025973600519369</v>
      </c>
      <c r="S37">
        <v>0.33753822001863748</v>
      </c>
      <c r="U37">
        <v>447541.38674331969</v>
      </c>
      <c r="V37">
        <v>22529.951187581941</v>
      </c>
      <c r="W37">
        <f t="shared" si="3"/>
        <v>1</v>
      </c>
      <c r="Y37">
        <v>21243.89177235118</v>
      </c>
      <c r="Z37">
        <v>227617.06899536579</v>
      </c>
      <c r="AA37">
        <f t="shared" si="9"/>
        <v>1</v>
      </c>
      <c r="AB37">
        <f t="shared" si="10"/>
        <v>0</v>
      </c>
      <c r="AC37">
        <f>IF(AND(F37=0, (U37/Z37)*ABS(U37-Z37)&gt;1.05*(Y37/V37)*ABS(Y37-V37)),1,0)</f>
        <v>0</v>
      </c>
      <c r="AD37">
        <f t="shared" si="11"/>
        <v>1</v>
      </c>
    </row>
    <row r="38" spans="2:30" x14ac:dyDescent="0.35">
      <c r="B38" s="15" t="s">
        <v>33</v>
      </c>
      <c r="C38">
        <v>918730.01107011072</v>
      </c>
      <c r="D38">
        <v>54603.267527675278</v>
      </c>
      <c r="E38">
        <f t="shared" si="4"/>
        <v>1</v>
      </c>
      <c r="F38">
        <f t="shared" si="5"/>
        <v>1</v>
      </c>
      <c r="G38">
        <f t="shared" si="6"/>
        <v>0</v>
      </c>
      <c r="H38">
        <f t="shared" si="7"/>
        <v>0</v>
      </c>
      <c r="I38" s="11"/>
      <c r="J38">
        <v>2.8749391748332707E-2</v>
      </c>
      <c r="K38">
        <v>1.7219303156237504E-2</v>
      </c>
      <c r="L38">
        <f t="shared" si="8"/>
        <v>0</v>
      </c>
      <c r="M38">
        <f t="shared" si="0"/>
        <v>0</v>
      </c>
      <c r="N38">
        <f t="shared" si="1"/>
        <v>0</v>
      </c>
      <c r="P38" s="14">
        <f t="shared" si="2"/>
        <v>1</v>
      </c>
      <c r="Q38" s="35"/>
      <c r="R38">
        <v>0.92730314336059649</v>
      </c>
      <c r="S38">
        <v>0.91580882692388621</v>
      </c>
      <c r="U38">
        <v>99054.850963665958</v>
      </c>
      <c r="V38">
        <v>3728.9243003728302</v>
      </c>
      <c r="W38">
        <f t="shared" si="3"/>
        <v>1</v>
      </c>
      <c r="Y38">
        <v>5935.3931121296146</v>
      </c>
      <c r="Z38">
        <v>70242.633888382639</v>
      </c>
      <c r="AA38">
        <f t="shared" si="9"/>
        <v>1</v>
      </c>
      <c r="AB38">
        <f t="shared" si="10"/>
        <v>0</v>
      </c>
      <c r="AC38">
        <f>IF(AND(F38=0, (U38/Z38)*ABS(U38-Z38)&gt;1.05*(Y38/V38)*ABS(Y38-V38)),1,0)</f>
        <v>0</v>
      </c>
      <c r="AD38">
        <f t="shared" si="11"/>
        <v>1</v>
      </c>
    </row>
    <row r="39" spans="2:30" x14ac:dyDescent="0.35">
      <c r="B39" s="15" t="s">
        <v>34</v>
      </c>
      <c r="C39">
        <v>845310.81086142315</v>
      </c>
      <c r="D39">
        <v>939131.11797752813</v>
      </c>
      <c r="E39">
        <f t="shared" si="4"/>
        <v>0</v>
      </c>
      <c r="F39">
        <f t="shared" si="5"/>
        <v>0</v>
      </c>
      <c r="G39">
        <f t="shared" si="6"/>
        <v>0</v>
      </c>
      <c r="H39">
        <f t="shared" si="7"/>
        <v>1</v>
      </c>
      <c r="I39" s="11"/>
      <c r="J39">
        <v>9.6239975054815005E-2</v>
      </c>
      <c r="K39">
        <v>1.2690378038063959E-2</v>
      </c>
      <c r="L39">
        <f t="shared" si="8"/>
        <v>0</v>
      </c>
      <c r="M39">
        <f t="shared" ref="M39:M70" si="12">IF(AND(H39=1, J39&lt;K39),1,0)</f>
        <v>0</v>
      </c>
      <c r="N39">
        <f t="shared" ref="N39:N70" si="13">IF(AND(H39=1, J39&gt;K39),1,0)</f>
        <v>1</v>
      </c>
      <c r="P39" s="14">
        <f t="shared" ref="P39:P70" si="14">IF(F39+M39=1,1,0)</f>
        <v>0</v>
      </c>
      <c r="Q39" s="35"/>
      <c r="R39">
        <v>8.9218770000491179E-2</v>
      </c>
      <c r="S39">
        <v>9.4688620465169529E-2</v>
      </c>
      <c r="U39">
        <v>361362.85755477089</v>
      </c>
      <c r="V39">
        <v>171398.692264168</v>
      </c>
      <c r="W39">
        <f t="shared" ref="W39:W70" si="15">IF(V39&lt;U39,1,0)</f>
        <v>1</v>
      </c>
      <c r="Y39">
        <v>350517.90370932309</v>
      </c>
      <c r="Z39">
        <v>153169.6941283464</v>
      </c>
      <c r="AA39">
        <f t="shared" si="9"/>
        <v>0</v>
      </c>
      <c r="AB39">
        <f t="shared" si="10"/>
        <v>0</v>
      </c>
      <c r="AC39">
        <f>IF(AND(F39=0, (U39/Z39)*ABS(U39-Z39)&gt;1.05*(Y39/V39)*ABS(Y39-V39)),1,0)</f>
        <v>1</v>
      </c>
      <c r="AD39">
        <f t="shared" si="11"/>
        <v>0</v>
      </c>
    </row>
    <row r="40" spans="2:30" x14ac:dyDescent="0.35">
      <c r="B40" s="15" t="s">
        <v>35</v>
      </c>
      <c r="C40">
        <v>1105088.58490566</v>
      </c>
      <c r="D40">
        <v>1042200.081132076</v>
      </c>
      <c r="E40">
        <f t="shared" si="4"/>
        <v>1</v>
      </c>
      <c r="F40">
        <f t="shared" si="5"/>
        <v>0</v>
      </c>
      <c r="G40">
        <f t="shared" si="6"/>
        <v>0</v>
      </c>
      <c r="H40">
        <f t="shared" si="7"/>
        <v>1</v>
      </c>
      <c r="I40" s="11"/>
      <c r="J40">
        <v>2.4042531696673211E-2</v>
      </c>
      <c r="K40">
        <v>2.0416407304829812E-2</v>
      </c>
      <c r="L40">
        <f t="shared" si="8"/>
        <v>0</v>
      </c>
      <c r="M40">
        <f t="shared" si="12"/>
        <v>0</v>
      </c>
      <c r="N40">
        <f t="shared" si="13"/>
        <v>1</v>
      </c>
      <c r="P40" s="14">
        <f t="shared" si="14"/>
        <v>0</v>
      </c>
      <c r="Q40" s="35"/>
      <c r="R40">
        <v>0.42726233478416642</v>
      </c>
      <c r="S40">
        <v>0.6731459390096971</v>
      </c>
      <c r="U40">
        <v>241333.54244156671</v>
      </c>
      <c r="V40">
        <v>140636.98753166621</v>
      </c>
      <c r="W40">
        <f t="shared" si="15"/>
        <v>1</v>
      </c>
      <c r="Y40">
        <v>373912.72786504339</v>
      </c>
      <c r="Z40">
        <v>145821.60872620839</v>
      </c>
      <c r="AA40">
        <f t="shared" si="9"/>
        <v>0</v>
      </c>
      <c r="AB40">
        <f t="shared" si="10"/>
        <v>1</v>
      </c>
      <c r="AC40">
        <f>IF(AND(F40=0, (U40/Z40)*ABS(U40-Z40)&gt;1.05*(Y40/V40)*ABS(Y40-V40)),1,0)</f>
        <v>0</v>
      </c>
      <c r="AD40">
        <f t="shared" si="11"/>
        <v>0</v>
      </c>
    </row>
    <row r="41" spans="2:30" x14ac:dyDescent="0.35">
      <c r="B41" s="15" t="s">
        <v>36</v>
      </c>
      <c r="C41">
        <v>1287432.620608899</v>
      </c>
      <c r="D41">
        <v>707270.53044496488</v>
      </c>
      <c r="E41">
        <f t="shared" si="4"/>
        <v>1</v>
      </c>
      <c r="F41">
        <f t="shared" si="5"/>
        <v>0</v>
      </c>
      <c r="G41">
        <f t="shared" si="6"/>
        <v>0</v>
      </c>
      <c r="H41">
        <f t="shared" si="7"/>
        <v>1</v>
      </c>
      <c r="I41" s="11"/>
      <c r="J41">
        <v>2.1083837661327542E-2</v>
      </c>
      <c r="K41">
        <v>3.5938270188291113E-2</v>
      </c>
      <c r="L41">
        <f t="shared" si="8"/>
        <v>1</v>
      </c>
      <c r="M41">
        <f t="shared" si="12"/>
        <v>1</v>
      </c>
      <c r="N41">
        <f t="shared" si="13"/>
        <v>0</v>
      </c>
      <c r="P41" s="14">
        <f t="shared" si="14"/>
        <v>1</v>
      </c>
      <c r="Q41" s="35"/>
      <c r="R41">
        <v>0.82211470962677224</v>
      </c>
      <c r="S41">
        <v>0.90442435849640124</v>
      </c>
      <c r="U41">
        <v>209912.04599143259</v>
      </c>
      <c r="V41">
        <v>70063.698336565314</v>
      </c>
      <c r="W41">
        <f t="shared" si="15"/>
        <v>1</v>
      </c>
      <c r="Y41">
        <v>25299.924054206658</v>
      </c>
      <c r="Z41">
        <v>38579.394969007357</v>
      </c>
      <c r="AA41">
        <f t="shared" si="9"/>
        <v>1</v>
      </c>
      <c r="AB41">
        <f t="shared" si="10"/>
        <v>0</v>
      </c>
      <c r="AC41">
        <f>IF(AND(F41=0, (U41/Z41)*ABS(U41-Z41)&gt;1.05*(Y41/V41)*ABS(Y41-V41)),1,0)</f>
        <v>1</v>
      </c>
      <c r="AD41">
        <f t="shared" si="11"/>
        <v>0</v>
      </c>
    </row>
    <row r="42" spans="2:30" x14ac:dyDescent="0.35">
      <c r="B42" s="15" t="s">
        <v>37</v>
      </c>
      <c r="C42">
        <v>1927756.801664355</v>
      </c>
      <c r="D42">
        <v>2278454.2454923722</v>
      </c>
      <c r="E42">
        <f t="shared" si="4"/>
        <v>0</v>
      </c>
      <c r="F42">
        <f t="shared" si="5"/>
        <v>0</v>
      </c>
      <c r="G42">
        <f t="shared" si="6"/>
        <v>0</v>
      </c>
      <c r="H42">
        <f t="shared" si="7"/>
        <v>1</v>
      </c>
      <c r="I42" s="11"/>
      <c r="J42">
        <v>2.3503821461646767E-2</v>
      </c>
      <c r="K42">
        <v>3.1775921534679868E-2</v>
      </c>
      <c r="L42">
        <f t="shared" si="8"/>
        <v>1</v>
      </c>
      <c r="M42">
        <f t="shared" si="12"/>
        <v>1</v>
      </c>
      <c r="N42">
        <f t="shared" si="13"/>
        <v>0</v>
      </c>
      <c r="P42" s="14">
        <f t="shared" si="14"/>
        <v>1</v>
      </c>
      <c r="Q42" s="35"/>
      <c r="R42">
        <v>0.66666947903345009</v>
      </c>
      <c r="S42">
        <v>0.78340767339108053</v>
      </c>
      <c r="U42">
        <v>261917.2918178481</v>
      </c>
      <c r="V42">
        <v>226532.0158354812</v>
      </c>
      <c r="W42">
        <f t="shared" si="15"/>
        <v>1</v>
      </c>
      <c r="Y42">
        <v>459001.59956677211</v>
      </c>
      <c r="Z42">
        <v>210963.42838272589</v>
      </c>
      <c r="AA42">
        <f t="shared" si="9"/>
        <v>0</v>
      </c>
      <c r="AB42">
        <f t="shared" si="10"/>
        <v>1</v>
      </c>
      <c r="AC42">
        <f>IF(AND(F42=0, (U42/Z42)*ABS(U42-Z42)&gt;1.05*(Y42/V42)*ABS(Y42-V42)),1,0)</f>
        <v>0</v>
      </c>
      <c r="AD42">
        <f t="shared" si="11"/>
        <v>0</v>
      </c>
    </row>
    <row r="43" spans="2:30" x14ac:dyDescent="0.35">
      <c r="B43" s="15" t="s">
        <v>38</v>
      </c>
      <c r="C43">
        <v>1165682.975471698</v>
      </c>
      <c r="D43">
        <v>867559.53773584904</v>
      </c>
      <c r="E43">
        <f t="shared" si="4"/>
        <v>1</v>
      </c>
      <c r="F43">
        <f t="shared" si="5"/>
        <v>0</v>
      </c>
      <c r="G43">
        <f t="shared" si="6"/>
        <v>0</v>
      </c>
      <c r="H43">
        <f t="shared" si="7"/>
        <v>1</v>
      </c>
      <c r="I43" s="11"/>
      <c r="J43">
        <v>3.5655832491189837E-2</v>
      </c>
      <c r="K43">
        <v>4.3774406709293348E-2</v>
      </c>
      <c r="L43">
        <f t="shared" si="8"/>
        <v>1</v>
      </c>
      <c r="M43">
        <f t="shared" si="12"/>
        <v>1</v>
      </c>
      <c r="N43">
        <f t="shared" si="13"/>
        <v>0</v>
      </c>
      <c r="P43" s="14">
        <f t="shared" si="14"/>
        <v>1</v>
      </c>
      <c r="Q43" s="35"/>
      <c r="R43">
        <v>0.1661046345214883</v>
      </c>
      <c r="S43">
        <v>0.14176027242164299</v>
      </c>
      <c r="U43">
        <v>422218.44814418693</v>
      </c>
      <c r="V43">
        <v>152767.09543771049</v>
      </c>
      <c r="W43">
        <f t="shared" si="15"/>
        <v>1</v>
      </c>
      <c r="Y43">
        <v>324463.95433182269</v>
      </c>
      <c r="Z43">
        <v>215737.87829945661</v>
      </c>
      <c r="AA43">
        <f t="shared" si="9"/>
        <v>0</v>
      </c>
      <c r="AB43">
        <f t="shared" si="10"/>
        <v>0</v>
      </c>
      <c r="AC43">
        <f>IF(AND(F43=0, (U43/Z43)*ABS(U43-Z43)&gt;1.05*(Y43/V43)*ABS(Y43-V43)),1,0)</f>
        <v>1</v>
      </c>
      <c r="AD43">
        <f t="shared" si="11"/>
        <v>0</v>
      </c>
    </row>
    <row r="44" spans="2:30" x14ac:dyDescent="0.35">
      <c r="B44" s="15" t="s">
        <v>39</v>
      </c>
      <c r="C44">
        <v>1024083.566037736</v>
      </c>
      <c r="D44">
        <v>610409.75094339624</v>
      </c>
      <c r="E44">
        <f t="shared" si="4"/>
        <v>1</v>
      </c>
      <c r="F44">
        <f t="shared" si="5"/>
        <v>0</v>
      </c>
      <c r="G44">
        <f t="shared" si="6"/>
        <v>0</v>
      </c>
      <c r="H44">
        <f t="shared" si="7"/>
        <v>1</v>
      </c>
      <c r="I44" s="11"/>
      <c r="J44">
        <v>9.5356166173466515E-3</v>
      </c>
      <c r="K44">
        <v>1.6097164890243862E-2</v>
      </c>
      <c r="L44">
        <f t="shared" si="8"/>
        <v>1</v>
      </c>
      <c r="M44">
        <f t="shared" si="12"/>
        <v>1</v>
      </c>
      <c r="N44">
        <f t="shared" si="13"/>
        <v>0</v>
      </c>
      <c r="P44" s="14">
        <f t="shared" si="14"/>
        <v>1</v>
      </c>
      <c r="Q44" s="35"/>
      <c r="R44">
        <v>0.18188341541480371</v>
      </c>
      <c r="S44">
        <v>4.5887032576636302E-2</v>
      </c>
      <c r="U44">
        <v>417669.27789032698</v>
      </c>
      <c r="V44">
        <v>107301.89201577091</v>
      </c>
      <c r="W44">
        <f t="shared" si="15"/>
        <v>1</v>
      </c>
      <c r="Y44">
        <v>266068.03886446892</v>
      </c>
      <c r="Z44">
        <v>202203.57619200251</v>
      </c>
      <c r="AA44">
        <f t="shared" si="9"/>
        <v>0</v>
      </c>
      <c r="AB44">
        <f t="shared" si="10"/>
        <v>0</v>
      </c>
      <c r="AC44">
        <f>IF(AND(F44=0, (U44/Z44)*ABS(U44-Z44)&gt;1.05*(Y44/V44)*ABS(Y44-V44)),1,0)</f>
        <v>1</v>
      </c>
      <c r="AD44">
        <f t="shared" si="11"/>
        <v>0</v>
      </c>
    </row>
    <row r="45" spans="2:30" x14ac:dyDescent="0.35">
      <c r="B45" s="15" t="s">
        <v>40</v>
      </c>
      <c r="C45">
        <v>1852930.2994764401</v>
      </c>
      <c r="D45">
        <v>108400.5214659686</v>
      </c>
      <c r="E45">
        <f t="shared" si="4"/>
        <v>1</v>
      </c>
      <c r="F45">
        <f t="shared" si="5"/>
        <v>1</v>
      </c>
      <c r="G45">
        <f t="shared" si="6"/>
        <v>0</v>
      </c>
      <c r="H45">
        <f t="shared" si="7"/>
        <v>0</v>
      </c>
      <c r="I45" s="11"/>
      <c r="J45">
        <v>2.9310026675098504E-2</v>
      </c>
      <c r="K45">
        <v>1.9166002535541305E-3</v>
      </c>
      <c r="L45">
        <f t="shared" si="8"/>
        <v>0</v>
      </c>
      <c r="M45">
        <f t="shared" si="12"/>
        <v>0</v>
      </c>
      <c r="N45">
        <f t="shared" si="13"/>
        <v>0</v>
      </c>
      <c r="P45" s="14">
        <f t="shared" si="14"/>
        <v>1</v>
      </c>
      <c r="Q45" s="35"/>
      <c r="R45">
        <v>0.6422958894900751</v>
      </c>
      <c r="S45">
        <v>6.706815724926686E-3</v>
      </c>
      <c r="U45">
        <v>441648.11981935898</v>
      </c>
      <c r="V45">
        <v>11213.403688939139</v>
      </c>
      <c r="W45">
        <f t="shared" si="15"/>
        <v>1</v>
      </c>
      <c r="Y45">
        <v>22035.525355941831</v>
      </c>
      <c r="Z45">
        <v>304917.37658632349</v>
      </c>
      <c r="AA45">
        <f t="shared" si="9"/>
        <v>1</v>
      </c>
      <c r="AB45">
        <f t="shared" si="10"/>
        <v>0</v>
      </c>
      <c r="AC45">
        <f>IF(AND(F45=0, (U45/Z45)*ABS(U45-Z45)&gt;1.05*(Y45/V45)*ABS(Y45-V45)),1,0)</f>
        <v>0</v>
      </c>
      <c r="AD45">
        <f t="shared" si="11"/>
        <v>1</v>
      </c>
    </row>
    <row r="46" spans="2:30" x14ac:dyDescent="0.35">
      <c r="B46" s="15" t="s">
        <v>41</v>
      </c>
      <c r="C46">
        <v>1189078.7056603769</v>
      </c>
      <c r="D46">
        <v>1019767.3962264149</v>
      </c>
      <c r="E46">
        <f t="shared" si="4"/>
        <v>1</v>
      </c>
      <c r="F46">
        <f t="shared" si="5"/>
        <v>0</v>
      </c>
      <c r="G46">
        <f t="shared" si="6"/>
        <v>0</v>
      </c>
      <c r="H46">
        <f t="shared" si="7"/>
        <v>1</v>
      </c>
      <c r="I46" s="11"/>
      <c r="J46">
        <v>2.645998985405525E-2</v>
      </c>
      <c r="K46">
        <v>7.0217112430140657E-2</v>
      </c>
      <c r="L46">
        <f t="shared" si="8"/>
        <v>1</v>
      </c>
      <c r="M46">
        <f t="shared" si="12"/>
        <v>1</v>
      </c>
      <c r="N46">
        <f t="shared" si="13"/>
        <v>0</v>
      </c>
      <c r="P46" s="14">
        <f t="shared" si="14"/>
        <v>1</v>
      </c>
      <c r="Q46" s="35"/>
      <c r="R46">
        <v>0.2714790928710199</v>
      </c>
      <c r="S46">
        <v>0.22141844456742621</v>
      </c>
      <c r="U46">
        <v>465883.56835845031</v>
      </c>
      <c r="V46">
        <v>161328.07594851789</v>
      </c>
      <c r="W46">
        <f t="shared" si="15"/>
        <v>1</v>
      </c>
      <c r="Y46">
        <v>394529.95483974362</v>
      </c>
      <c r="Z46">
        <v>212022.26271062269</v>
      </c>
      <c r="AA46">
        <f t="shared" si="9"/>
        <v>0</v>
      </c>
      <c r="AB46">
        <f t="shared" si="10"/>
        <v>0</v>
      </c>
      <c r="AC46">
        <f>IF(AND(F46=0, (U46/Z46)*ABS(U46-Z46)&gt;1.05*(Y46/V46)*ABS(Y46-V46)),1,0)</f>
        <v>0</v>
      </c>
      <c r="AD46">
        <f t="shared" si="11"/>
        <v>1</v>
      </c>
    </row>
    <row r="47" spans="2:30" x14ac:dyDescent="0.35">
      <c r="B47" s="15" t="s">
        <v>42</v>
      </c>
      <c r="C47">
        <v>432408.13893376407</v>
      </c>
      <c r="D47">
        <v>65869.607431340875</v>
      </c>
      <c r="E47">
        <f t="shared" si="4"/>
        <v>1</v>
      </c>
      <c r="F47">
        <f t="shared" si="5"/>
        <v>1</v>
      </c>
      <c r="G47">
        <f t="shared" si="6"/>
        <v>0</v>
      </c>
      <c r="H47">
        <f t="shared" si="7"/>
        <v>0</v>
      </c>
      <c r="I47" s="11"/>
      <c r="J47">
        <v>3.1600600572664769E-2</v>
      </c>
      <c r="K47">
        <v>1.0515399107656979E-2</v>
      </c>
      <c r="L47">
        <f t="shared" si="8"/>
        <v>0</v>
      </c>
      <c r="M47">
        <f t="shared" si="12"/>
        <v>0</v>
      </c>
      <c r="N47">
        <f t="shared" si="13"/>
        <v>0</v>
      </c>
      <c r="P47" s="14">
        <f t="shared" si="14"/>
        <v>1</v>
      </c>
      <c r="Q47" s="35"/>
      <c r="R47">
        <v>0.35865185494517288</v>
      </c>
      <c r="S47">
        <v>4.1772791073774712E-2</v>
      </c>
      <c r="U47">
        <v>100190.78557278011</v>
      </c>
      <c r="V47">
        <v>10800.740783971511</v>
      </c>
      <c r="W47">
        <f t="shared" si="15"/>
        <v>1</v>
      </c>
      <c r="Y47">
        <v>17904.438890988269</v>
      </c>
      <c r="Z47">
        <v>76953.942605789809</v>
      </c>
      <c r="AA47">
        <f t="shared" si="9"/>
        <v>1</v>
      </c>
      <c r="AB47">
        <f t="shared" si="10"/>
        <v>0</v>
      </c>
      <c r="AC47">
        <f>IF(AND(F47=0, (U47/Z47)*ABS(U47-Z47)&gt;1.05*(Y47/V47)*ABS(Y47-V47)),1,0)</f>
        <v>0</v>
      </c>
      <c r="AD47">
        <f t="shared" si="11"/>
        <v>1</v>
      </c>
    </row>
    <row r="48" spans="2:30" x14ac:dyDescent="0.35">
      <c r="B48" s="15" t="s">
        <v>43</v>
      </c>
      <c r="C48">
        <v>1012883.011320755</v>
      </c>
      <c r="D48">
        <v>1128854.8754716979</v>
      </c>
      <c r="E48">
        <f t="shared" si="4"/>
        <v>0</v>
      </c>
      <c r="F48">
        <f t="shared" si="5"/>
        <v>0</v>
      </c>
      <c r="G48">
        <f t="shared" si="6"/>
        <v>0</v>
      </c>
      <c r="H48">
        <f t="shared" si="7"/>
        <v>1</v>
      </c>
      <c r="I48" s="11"/>
      <c r="J48">
        <v>4.0996154291461279E-2</v>
      </c>
      <c r="K48">
        <v>3.1095852553145988E-2</v>
      </c>
      <c r="L48">
        <f t="shared" si="8"/>
        <v>0</v>
      </c>
      <c r="M48">
        <f t="shared" si="12"/>
        <v>0</v>
      </c>
      <c r="N48">
        <f t="shared" si="13"/>
        <v>1</v>
      </c>
      <c r="P48" s="14">
        <f t="shared" si="14"/>
        <v>0</v>
      </c>
      <c r="Q48" s="35"/>
      <c r="R48">
        <v>0.34726911033546859</v>
      </c>
      <c r="S48">
        <v>0.51600626841588304</v>
      </c>
      <c r="U48">
        <v>325408.59705156641</v>
      </c>
      <c r="V48">
        <v>154434.95607827301</v>
      </c>
      <c r="W48">
        <f t="shared" si="15"/>
        <v>1</v>
      </c>
      <c r="Y48">
        <v>370755.96281498461</v>
      </c>
      <c r="Z48">
        <v>151476.56865631099</v>
      </c>
      <c r="AA48">
        <f t="shared" si="9"/>
        <v>0</v>
      </c>
      <c r="AB48">
        <f t="shared" si="10"/>
        <v>1</v>
      </c>
      <c r="AC48">
        <f>IF(AND(F48=0, (U48/Z48)*ABS(U48-Z48)&gt;1.05*(Y48/V48)*ABS(Y48-V48)),1,0)</f>
        <v>0</v>
      </c>
      <c r="AD48">
        <f t="shared" si="11"/>
        <v>0</v>
      </c>
    </row>
    <row r="49" spans="2:30" x14ac:dyDescent="0.35">
      <c r="B49" s="15" t="s">
        <v>44</v>
      </c>
      <c r="C49">
        <v>1134232.7132075471</v>
      </c>
      <c r="D49">
        <v>1080270.918867924</v>
      </c>
      <c r="E49">
        <f t="shared" si="4"/>
        <v>1</v>
      </c>
      <c r="F49">
        <f t="shared" si="5"/>
        <v>0</v>
      </c>
      <c r="G49">
        <f t="shared" si="6"/>
        <v>0</v>
      </c>
      <c r="H49">
        <f t="shared" si="7"/>
        <v>1</v>
      </c>
      <c r="I49" s="11"/>
      <c r="J49">
        <v>5.2787176304118236E-2</v>
      </c>
      <c r="K49">
        <v>2.9063843125650132E-2</v>
      </c>
      <c r="L49">
        <f t="shared" si="8"/>
        <v>0</v>
      </c>
      <c r="M49">
        <f t="shared" si="12"/>
        <v>0</v>
      </c>
      <c r="N49">
        <f t="shared" si="13"/>
        <v>1</v>
      </c>
      <c r="P49" s="14">
        <f t="shared" si="14"/>
        <v>0</v>
      </c>
      <c r="Q49" s="35"/>
      <c r="R49">
        <v>0.45159449736808799</v>
      </c>
      <c r="S49">
        <v>0.44173111710643997</v>
      </c>
      <c r="U49">
        <v>412068.56302190042</v>
      </c>
      <c r="V49">
        <v>165364.6637370174</v>
      </c>
      <c r="W49">
        <f t="shared" si="15"/>
        <v>1</v>
      </c>
      <c r="Y49">
        <v>409316.64333010127</v>
      </c>
      <c r="Z49">
        <v>166938.4707132084</v>
      </c>
      <c r="AA49">
        <f t="shared" si="9"/>
        <v>0</v>
      </c>
      <c r="AB49">
        <f t="shared" si="10"/>
        <v>0</v>
      </c>
      <c r="AC49">
        <f>IF(AND(F49=0, (U49/Z49)*ABS(U49-Z49)&gt;1.05*(Y49/V49)*ABS(Y49-V49)),1,0)</f>
        <v>0</v>
      </c>
      <c r="AD49">
        <f t="shared" si="11"/>
        <v>1</v>
      </c>
    </row>
    <row r="50" spans="2:30" x14ac:dyDescent="0.35">
      <c r="B50" s="15" t="s">
        <v>45</v>
      </c>
      <c r="C50">
        <v>1029511.1394366201</v>
      </c>
      <c r="D50">
        <v>1077760.4281690139</v>
      </c>
      <c r="E50">
        <f t="shared" si="4"/>
        <v>0</v>
      </c>
      <c r="F50">
        <f t="shared" si="5"/>
        <v>0</v>
      </c>
      <c r="G50">
        <f t="shared" si="6"/>
        <v>0</v>
      </c>
      <c r="H50">
        <f t="shared" si="7"/>
        <v>1</v>
      </c>
      <c r="I50" s="11"/>
      <c r="J50">
        <v>4.1972395758463336E-2</v>
      </c>
      <c r="K50">
        <v>1.3346717407855962E-2</v>
      </c>
      <c r="L50">
        <f t="shared" si="8"/>
        <v>0</v>
      </c>
      <c r="M50">
        <f t="shared" si="12"/>
        <v>0</v>
      </c>
      <c r="N50">
        <f t="shared" si="13"/>
        <v>1</v>
      </c>
      <c r="P50" s="14">
        <f t="shared" si="14"/>
        <v>0</v>
      </c>
      <c r="Q50" s="35"/>
      <c r="R50">
        <v>6.6327654546190176E-2</v>
      </c>
      <c r="S50">
        <v>8.889090105253003E-2</v>
      </c>
      <c r="U50">
        <v>444056.92847021308</v>
      </c>
      <c r="V50">
        <v>207061.5294026887</v>
      </c>
      <c r="W50">
        <f t="shared" si="15"/>
        <v>1</v>
      </c>
      <c r="Y50">
        <v>445115.90456007462</v>
      </c>
      <c r="Z50">
        <v>210736.04983744299</v>
      </c>
      <c r="AA50">
        <f t="shared" si="9"/>
        <v>0</v>
      </c>
      <c r="AB50">
        <f t="shared" si="10"/>
        <v>0</v>
      </c>
      <c r="AC50">
        <f>IF(AND(F50=0, (U50/Z50)*ABS(U50-Z50)&gt;1.05*(Y50/V50)*ABS(Y50-V50)),1,0)</f>
        <v>0</v>
      </c>
      <c r="AD50">
        <f t="shared" si="11"/>
        <v>1</v>
      </c>
    </row>
    <row r="51" spans="2:30" x14ac:dyDescent="0.35">
      <c r="B51" s="15" t="s">
        <v>46</v>
      </c>
      <c r="C51">
        <v>941655.55102040817</v>
      </c>
      <c r="D51">
        <v>1069520.9460641399</v>
      </c>
      <c r="E51">
        <f t="shared" si="4"/>
        <v>0</v>
      </c>
      <c r="F51">
        <f t="shared" si="5"/>
        <v>0</v>
      </c>
      <c r="G51">
        <f t="shared" si="6"/>
        <v>0</v>
      </c>
      <c r="H51">
        <f t="shared" si="7"/>
        <v>1</v>
      </c>
      <c r="I51" s="11"/>
      <c r="J51">
        <v>4.6664786224864321E-2</v>
      </c>
      <c r="K51">
        <v>1.7299834057279802E-2</v>
      </c>
      <c r="L51">
        <f t="shared" si="8"/>
        <v>0</v>
      </c>
      <c r="M51">
        <f t="shared" si="12"/>
        <v>0</v>
      </c>
      <c r="N51">
        <f t="shared" si="13"/>
        <v>1</v>
      </c>
      <c r="P51" s="14">
        <f t="shared" si="14"/>
        <v>0</v>
      </c>
      <c r="Q51" s="35"/>
      <c r="R51">
        <v>0.47500489709594329</v>
      </c>
      <c r="S51">
        <v>0.38698645860193248</v>
      </c>
      <c r="U51">
        <v>203569.69058017959</v>
      </c>
      <c r="V51">
        <v>133083.74172930111</v>
      </c>
      <c r="W51">
        <f t="shared" si="15"/>
        <v>1</v>
      </c>
      <c r="Y51">
        <v>245283.23795104839</v>
      </c>
      <c r="Z51">
        <v>119185.02279501069</v>
      </c>
      <c r="AA51">
        <f t="shared" si="9"/>
        <v>0</v>
      </c>
      <c r="AB51">
        <f t="shared" si="10"/>
        <v>1</v>
      </c>
      <c r="AC51">
        <f>IF(AND(F51=0, (U51/Z51)*ABS(U51-Z51)&gt;1.05*(Y51/V51)*ABS(Y51-V51)),1,0)</f>
        <v>0</v>
      </c>
      <c r="AD51">
        <f t="shared" si="11"/>
        <v>0</v>
      </c>
    </row>
    <row r="52" spans="2:30" x14ac:dyDescent="0.35">
      <c r="B52" s="15" t="s">
        <v>47</v>
      </c>
      <c r="C52">
        <v>1105019.9320754721</v>
      </c>
      <c r="D52">
        <v>1287076.0226415091</v>
      </c>
      <c r="E52">
        <f t="shared" si="4"/>
        <v>0</v>
      </c>
      <c r="F52">
        <f t="shared" si="5"/>
        <v>0</v>
      </c>
      <c r="G52">
        <f t="shared" si="6"/>
        <v>0</v>
      </c>
      <c r="H52">
        <f t="shared" si="7"/>
        <v>1</v>
      </c>
      <c r="I52" s="11"/>
      <c r="J52">
        <v>4.1176808451508382E-2</v>
      </c>
      <c r="K52">
        <v>3.0079974559872963E-2</v>
      </c>
      <c r="L52">
        <f t="shared" si="8"/>
        <v>0</v>
      </c>
      <c r="M52">
        <f t="shared" si="12"/>
        <v>0</v>
      </c>
      <c r="N52">
        <f t="shared" si="13"/>
        <v>1</v>
      </c>
      <c r="P52" s="14">
        <f t="shared" si="14"/>
        <v>0</v>
      </c>
      <c r="Q52" s="35"/>
      <c r="R52">
        <v>0.24007184761064079</v>
      </c>
      <c r="S52">
        <v>0.13654974112043561</v>
      </c>
      <c r="U52">
        <v>376786.61021949071</v>
      </c>
      <c r="V52">
        <v>212391.80265990051</v>
      </c>
      <c r="W52">
        <f t="shared" si="15"/>
        <v>1</v>
      </c>
      <c r="Y52">
        <v>460367.23828197952</v>
      </c>
      <c r="Z52">
        <v>210569.6358029879</v>
      </c>
      <c r="AA52">
        <f t="shared" si="9"/>
        <v>0</v>
      </c>
      <c r="AB52">
        <f t="shared" si="10"/>
        <v>1</v>
      </c>
      <c r="AC52">
        <f>IF(AND(F52=0, (U52/Z52)*ABS(U52-Z52)&gt;1.05*(Y52/V52)*ABS(Y52-V52)),1,0)</f>
        <v>0</v>
      </c>
      <c r="AD52">
        <f t="shared" si="11"/>
        <v>0</v>
      </c>
    </row>
    <row r="53" spans="2:30" x14ac:dyDescent="0.35">
      <c r="B53" s="15" t="s">
        <v>48</v>
      </c>
      <c r="C53">
        <v>856323.32296296302</v>
      </c>
      <c r="D53">
        <v>72145.903703703705</v>
      </c>
      <c r="E53">
        <f t="shared" si="4"/>
        <v>1</v>
      </c>
      <c r="F53">
        <f t="shared" si="5"/>
        <v>1</v>
      </c>
      <c r="G53">
        <f t="shared" si="6"/>
        <v>0</v>
      </c>
      <c r="H53">
        <f t="shared" si="7"/>
        <v>0</v>
      </c>
      <c r="I53" s="11"/>
      <c r="J53">
        <v>2.2167636609203151E-2</v>
      </c>
      <c r="K53">
        <v>1.19132753101683E-2</v>
      </c>
      <c r="L53">
        <f t="shared" si="8"/>
        <v>0</v>
      </c>
      <c r="M53">
        <f t="shared" si="12"/>
        <v>0</v>
      </c>
      <c r="N53">
        <f t="shared" si="13"/>
        <v>0</v>
      </c>
      <c r="P53" s="14">
        <f t="shared" si="14"/>
        <v>1</v>
      </c>
      <c r="Q53" s="35"/>
      <c r="R53">
        <v>0.56394799478028868</v>
      </c>
      <c r="S53">
        <v>0.46837776038515438</v>
      </c>
      <c r="U53">
        <v>265893.71324151801</v>
      </c>
      <c r="V53">
        <v>12759.58976546827</v>
      </c>
      <c r="W53">
        <f t="shared" si="15"/>
        <v>1</v>
      </c>
      <c r="Y53">
        <v>16753.020853213078</v>
      </c>
      <c r="Z53">
        <v>125500.4795540011</v>
      </c>
      <c r="AA53">
        <f t="shared" si="9"/>
        <v>1</v>
      </c>
      <c r="AB53">
        <f t="shared" si="10"/>
        <v>0</v>
      </c>
      <c r="AC53">
        <f>IF(AND(F53=0, (U53/Z53)*ABS(U53-Z53)&gt;1.05*(Y53/V53)*ABS(Y53-V53)),1,0)</f>
        <v>0</v>
      </c>
      <c r="AD53">
        <f t="shared" si="11"/>
        <v>1</v>
      </c>
    </row>
    <row r="54" spans="2:30" x14ac:dyDescent="0.35">
      <c r="B54" s="15" t="s">
        <v>49</v>
      </c>
      <c r="C54">
        <v>1608550.699040767</v>
      </c>
      <c r="D54">
        <v>1175921.794964029</v>
      </c>
      <c r="E54">
        <f t="shared" si="4"/>
        <v>1</v>
      </c>
      <c r="F54">
        <f t="shared" si="5"/>
        <v>0</v>
      </c>
      <c r="G54">
        <f t="shared" si="6"/>
        <v>0</v>
      </c>
      <c r="H54">
        <f t="shared" si="7"/>
        <v>1</v>
      </c>
      <c r="I54" s="11"/>
      <c r="J54">
        <v>1.3048196187826417E-3</v>
      </c>
      <c r="K54">
        <v>3.2449499651069719E-2</v>
      </c>
      <c r="L54">
        <f t="shared" si="8"/>
        <v>1</v>
      </c>
      <c r="M54">
        <f t="shared" si="12"/>
        <v>1</v>
      </c>
      <c r="N54">
        <f t="shared" si="13"/>
        <v>0</v>
      </c>
      <c r="P54" s="14">
        <f t="shared" si="14"/>
        <v>1</v>
      </c>
      <c r="Q54" s="35"/>
      <c r="R54">
        <v>1.7403689742208699E-3</v>
      </c>
      <c r="S54">
        <v>1.490578079177904E-2</v>
      </c>
      <c r="U54">
        <v>610519.13400810887</v>
      </c>
      <c r="V54">
        <v>213207.76018915611</v>
      </c>
      <c r="W54">
        <f t="shared" si="15"/>
        <v>1</v>
      </c>
      <c r="Y54">
        <v>560104.42561124696</v>
      </c>
      <c r="Z54">
        <v>323175.46836166421</v>
      </c>
      <c r="AA54">
        <f t="shared" si="9"/>
        <v>0</v>
      </c>
      <c r="AB54">
        <f t="shared" si="10"/>
        <v>1</v>
      </c>
      <c r="AC54">
        <f>IF(AND(F54=0, (U54/Z54)*ABS(U54-Z54)&gt;1.05*(Y54/V54)*ABS(Y54-V54)),1,0)</f>
        <v>0</v>
      </c>
      <c r="AD54">
        <f t="shared" si="11"/>
        <v>0</v>
      </c>
    </row>
    <row r="55" spans="2:30" x14ac:dyDescent="0.35">
      <c r="B55" s="15" t="s">
        <v>50</v>
      </c>
      <c r="C55">
        <v>2457120.8149509798</v>
      </c>
      <c r="D55">
        <v>1781234.8921568629</v>
      </c>
      <c r="E55">
        <f t="shared" si="4"/>
        <v>1</v>
      </c>
      <c r="F55">
        <f t="shared" si="5"/>
        <v>0</v>
      </c>
      <c r="G55">
        <f t="shared" si="6"/>
        <v>0</v>
      </c>
      <c r="H55">
        <f t="shared" si="7"/>
        <v>1</v>
      </c>
      <c r="I55" s="11"/>
      <c r="J55">
        <v>1.4829734118874172E-3</v>
      </c>
      <c r="K55">
        <v>6.7944725549772401E-4</v>
      </c>
      <c r="L55">
        <f t="shared" si="8"/>
        <v>0</v>
      </c>
      <c r="M55">
        <f t="shared" si="12"/>
        <v>0</v>
      </c>
      <c r="N55">
        <f t="shared" si="13"/>
        <v>1</v>
      </c>
      <c r="P55" s="14">
        <f t="shared" si="14"/>
        <v>0</v>
      </c>
      <c r="Q55" s="35"/>
      <c r="R55">
        <v>4.6133448787995142E-3</v>
      </c>
      <c r="S55">
        <v>2.5176715874272409E-5</v>
      </c>
      <c r="U55">
        <v>793173.65659294161</v>
      </c>
      <c r="V55">
        <v>340583.62266784819</v>
      </c>
      <c r="W55">
        <f t="shared" si="15"/>
        <v>1</v>
      </c>
      <c r="Y55">
        <v>772835.10431468184</v>
      </c>
      <c r="Z55">
        <v>460762.7266541702</v>
      </c>
      <c r="AA55">
        <f t="shared" si="9"/>
        <v>0</v>
      </c>
      <c r="AB55">
        <f t="shared" si="10"/>
        <v>1</v>
      </c>
      <c r="AC55">
        <f>IF(AND(F55=0, (U55/Z55)*ABS(U55-Z55)&gt;1.05*(Y55/V55)*ABS(Y55-V55)),1,0)</f>
        <v>0</v>
      </c>
      <c r="AD55">
        <f t="shared" si="11"/>
        <v>0</v>
      </c>
    </row>
    <row r="56" spans="2:30" x14ac:dyDescent="0.35">
      <c r="B56" s="15" t="s">
        <v>51</v>
      </c>
      <c r="C56">
        <v>631645.9312169312</v>
      </c>
      <c r="D56">
        <v>680109.60493827157</v>
      </c>
      <c r="E56">
        <f t="shared" si="4"/>
        <v>0</v>
      </c>
      <c r="F56">
        <f t="shared" si="5"/>
        <v>0</v>
      </c>
      <c r="G56">
        <f t="shared" si="6"/>
        <v>0</v>
      </c>
      <c r="H56">
        <f t="shared" si="7"/>
        <v>1</v>
      </c>
      <c r="I56" s="11"/>
      <c r="J56">
        <v>4.9302937028434055E-3</v>
      </c>
      <c r="K56">
        <v>4.8618955338737826E-3</v>
      </c>
      <c r="L56">
        <f t="shared" si="8"/>
        <v>0</v>
      </c>
      <c r="M56">
        <f t="shared" si="12"/>
        <v>0</v>
      </c>
      <c r="N56">
        <f t="shared" si="13"/>
        <v>1</v>
      </c>
      <c r="P56" s="14">
        <f t="shared" si="14"/>
        <v>0</v>
      </c>
      <c r="Q56" s="35"/>
      <c r="R56">
        <v>3.88521367669727E-3</v>
      </c>
      <c r="S56">
        <v>4.0915445884221843E-2</v>
      </c>
      <c r="U56">
        <v>269889.58269140992</v>
      </c>
      <c r="V56">
        <v>139383.00987103171</v>
      </c>
      <c r="W56">
        <f t="shared" si="15"/>
        <v>1</v>
      </c>
      <c r="Y56">
        <v>271998.58189938002</v>
      </c>
      <c r="Z56">
        <v>116655.6797035081</v>
      </c>
      <c r="AA56">
        <f t="shared" si="9"/>
        <v>0</v>
      </c>
      <c r="AB56">
        <f t="shared" si="10"/>
        <v>0</v>
      </c>
      <c r="AC56">
        <f>IF(AND(F56=0, (U56/Z56)*ABS(U56-Z56)&gt;1.05*(Y56/V56)*ABS(Y56-V56)),1,0)</f>
        <v>1</v>
      </c>
      <c r="AD56">
        <f t="shared" si="11"/>
        <v>0</v>
      </c>
    </row>
    <row r="57" spans="2:30" x14ac:dyDescent="0.35">
      <c r="B57" s="15" t="s">
        <v>52</v>
      </c>
      <c r="C57">
        <v>1066453.4576962281</v>
      </c>
      <c r="D57">
        <v>57916.967380224261</v>
      </c>
      <c r="E57">
        <f t="shared" si="4"/>
        <v>1</v>
      </c>
      <c r="F57">
        <f t="shared" si="5"/>
        <v>1</v>
      </c>
      <c r="G57">
        <f t="shared" si="6"/>
        <v>0</v>
      </c>
      <c r="H57">
        <f t="shared" si="7"/>
        <v>0</v>
      </c>
      <c r="I57" s="11"/>
      <c r="J57">
        <v>2.2651222352722093E-2</v>
      </c>
      <c r="K57">
        <v>1.3027073488372452E-2</v>
      </c>
      <c r="L57">
        <f t="shared" si="8"/>
        <v>0</v>
      </c>
      <c r="M57">
        <f t="shared" si="12"/>
        <v>0</v>
      </c>
      <c r="N57">
        <f t="shared" si="13"/>
        <v>0</v>
      </c>
      <c r="P57" s="14">
        <f t="shared" si="14"/>
        <v>1</v>
      </c>
      <c r="Q57" s="35"/>
      <c r="R57">
        <v>0.74201664205870976</v>
      </c>
      <c r="S57">
        <v>0.88865900675745357</v>
      </c>
      <c r="U57">
        <v>223584.21720315219</v>
      </c>
      <c r="V57">
        <v>5553.7545903505443</v>
      </c>
      <c r="W57">
        <f t="shared" si="15"/>
        <v>1</v>
      </c>
      <c r="Y57">
        <v>5435.129649227355</v>
      </c>
      <c r="Z57">
        <v>59678.342868611697</v>
      </c>
      <c r="AA57">
        <f t="shared" si="9"/>
        <v>1</v>
      </c>
      <c r="AB57">
        <f t="shared" si="10"/>
        <v>0</v>
      </c>
      <c r="AC57">
        <f>IF(AND(F57=0, (U57/Z57)*ABS(U57-Z57)&gt;1.05*(Y57/V57)*ABS(Y57-V57)),1,0)</f>
        <v>0</v>
      </c>
      <c r="AD57">
        <f t="shared" si="11"/>
        <v>1</v>
      </c>
    </row>
    <row r="58" spans="2:30" x14ac:dyDescent="0.35">
      <c r="B58" s="15" t="s">
        <v>53</v>
      </c>
      <c r="C58">
        <v>780596.97023153258</v>
      </c>
      <c r="D58">
        <v>920751.35170893057</v>
      </c>
      <c r="E58">
        <f t="shared" si="4"/>
        <v>0</v>
      </c>
      <c r="F58">
        <f t="shared" si="5"/>
        <v>0</v>
      </c>
      <c r="G58">
        <f t="shared" si="6"/>
        <v>0</v>
      </c>
      <c r="H58">
        <f t="shared" si="7"/>
        <v>1</v>
      </c>
      <c r="I58" s="11"/>
      <c r="J58">
        <v>2.0900102465505447E-2</v>
      </c>
      <c r="K58">
        <v>2.3970152534705153E-2</v>
      </c>
      <c r="L58">
        <f t="shared" si="8"/>
        <v>1</v>
      </c>
      <c r="M58">
        <f t="shared" si="12"/>
        <v>1</v>
      </c>
      <c r="N58">
        <f t="shared" si="13"/>
        <v>0</v>
      </c>
      <c r="P58" s="14">
        <f t="shared" si="14"/>
        <v>1</v>
      </c>
      <c r="Q58" s="35"/>
      <c r="R58">
        <v>0.32172896414862961</v>
      </c>
      <c r="S58">
        <v>0.42640580810515799</v>
      </c>
      <c r="U58">
        <v>239884.75905135891</v>
      </c>
      <c r="V58">
        <v>167125.0727783239</v>
      </c>
      <c r="W58">
        <f t="shared" si="15"/>
        <v>1</v>
      </c>
      <c r="Y58">
        <v>272839.72356718453</v>
      </c>
      <c r="Z58">
        <v>136160.48016501151</v>
      </c>
      <c r="AA58">
        <f t="shared" si="9"/>
        <v>0</v>
      </c>
      <c r="AB58">
        <f t="shared" si="10"/>
        <v>0</v>
      </c>
      <c r="AC58">
        <f>IF(AND(F58=0, (U58/Z58)*ABS(U58-Z58)&gt;1.05*(Y58/V58)*ABS(Y58-V58)),1,0)</f>
        <v>1</v>
      </c>
      <c r="AD58">
        <f t="shared" si="11"/>
        <v>0</v>
      </c>
    </row>
    <row r="59" spans="2:30" x14ac:dyDescent="0.35">
      <c r="B59" s="15" t="s">
        <v>54</v>
      </c>
      <c r="C59">
        <v>988906.98137802607</v>
      </c>
      <c r="D59">
        <v>833198.56424581003</v>
      </c>
      <c r="E59">
        <f t="shared" si="4"/>
        <v>1</v>
      </c>
      <c r="F59">
        <f t="shared" si="5"/>
        <v>0</v>
      </c>
      <c r="G59">
        <f t="shared" si="6"/>
        <v>0</v>
      </c>
      <c r="H59">
        <f t="shared" si="7"/>
        <v>1</v>
      </c>
      <c r="I59" s="11"/>
      <c r="J59">
        <v>2.6267525443153965E-2</v>
      </c>
      <c r="K59">
        <v>3.6397364042143978E-3</v>
      </c>
      <c r="L59">
        <f t="shared" si="8"/>
        <v>0</v>
      </c>
      <c r="M59">
        <f t="shared" si="12"/>
        <v>0</v>
      </c>
      <c r="N59">
        <f t="shared" si="13"/>
        <v>1</v>
      </c>
      <c r="P59" s="14">
        <f t="shared" si="14"/>
        <v>0</v>
      </c>
      <c r="Q59" s="35"/>
      <c r="R59">
        <v>8.4477282238216031E-2</v>
      </c>
      <c r="S59">
        <v>5.300422563579496E-2</v>
      </c>
      <c r="U59">
        <v>364636.43391600827</v>
      </c>
      <c r="V59">
        <v>133722.8456220066</v>
      </c>
      <c r="W59">
        <f t="shared" si="15"/>
        <v>1</v>
      </c>
      <c r="Y59">
        <v>241240.8150079562</v>
      </c>
      <c r="Z59">
        <v>150640.89522228969</v>
      </c>
      <c r="AA59">
        <f t="shared" si="9"/>
        <v>0</v>
      </c>
      <c r="AB59">
        <f t="shared" si="10"/>
        <v>0</v>
      </c>
      <c r="AC59">
        <f>IF(AND(F59=0, (U59/Z59)*ABS(U59-Z59)&gt;1.05*(Y59/V59)*ABS(Y59-V59)),1,0)</f>
        <v>1</v>
      </c>
      <c r="AD59">
        <f t="shared" si="11"/>
        <v>0</v>
      </c>
    </row>
    <row r="60" spans="2:30" x14ac:dyDescent="0.35">
      <c r="B60" s="15" t="s">
        <v>55</v>
      </c>
      <c r="C60">
        <v>675210.55417185556</v>
      </c>
      <c r="D60">
        <v>1121882.803237858</v>
      </c>
      <c r="E60">
        <f t="shared" si="4"/>
        <v>0</v>
      </c>
      <c r="F60">
        <f t="shared" si="5"/>
        <v>0</v>
      </c>
      <c r="G60">
        <f t="shared" si="6"/>
        <v>0</v>
      </c>
      <c r="H60">
        <f t="shared" si="7"/>
        <v>1</v>
      </c>
      <c r="I60" s="11"/>
      <c r="J60">
        <v>2.5761320716479245E-2</v>
      </c>
      <c r="K60">
        <v>3.702318790919059E-2</v>
      </c>
      <c r="L60">
        <f t="shared" si="8"/>
        <v>1</v>
      </c>
      <c r="M60">
        <f t="shared" si="12"/>
        <v>1</v>
      </c>
      <c r="N60">
        <f t="shared" si="13"/>
        <v>0</v>
      </c>
      <c r="P60" s="14">
        <f t="shared" si="14"/>
        <v>1</v>
      </c>
      <c r="Q60" s="35"/>
      <c r="R60">
        <v>0.18259706587373201</v>
      </c>
      <c r="S60">
        <v>8.2741184697853076E-2</v>
      </c>
      <c r="U60">
        <v>257866.0238460578</v>
      </c>
      <c r="V60">
        <v>216845.399633742</v>
      </c>
      <c r="W60">
        <f t="shared" si="15"/>
        <v>1</v>
      </c>
      <c r="Y60">
        <v>390996.18447896477</v>
      </c>
      <c r="Z60">
        <v>105225.3712873757</v>
      </c>
      <c r="AA60">
        <f t="shared" si="9"/>
        <v>0</v>
      </c>
      <c r="AB60">
        <f t="shared" si="10"/>
        <v>0</v>
      </c>
      <c r="AC60">
        <f>IF(AND(F60=0, (U60/Z60)*ABS(U60-Z60)&gt;1.05*(Y60/V60)*ABS(Y60-V60)),1,0)</f>
        <v>1</v>
      </c>
      <c r="AD60">
        <f t="shared" si="11"/>
        <v>0</v>
      </c>
    </row>
    <row r="61" spans="2:30" x14ac:dyDescent="0.35">
      <c r="B61" s="15" t="s">
        <v>56</v>
      </c>
      <c r="C61">
        <v>1133973.3264150941</v>
      </c>
      <c r="D61">
        <v>1040620.6037735851</v>
      </c>
      <c r="E61">
        <f t="shared" si="4"/>
        <v>1</v>
      </c>
      <c r="F61">
        <f t="shared" si="5"/>
        <v>0</v>
      </c>
      <c r="G61">
        <f t="shared" si="6"/>
        <v>0</v>
      </c>
      <c r="H61">
        <f t="shared" si="7"/>
        <v>1</v>
      </c>
      <c r="I61" s="11"/>
      <c r="J61">
        <v>7.5537646018077331E-2</v>
      </c>
      <c r="K61">
        <v>4.8017879109404346E-2</v>
      </c>
      <c r="L61">
        <f t="shared" si="8"/>
        <v>0</v>
      </c>
      <c r="M61">
        <f t="shared" si="12"/>
        <v>0</v>
      </c>
      <c r="N61">
        <f t="shared" si="13"/>
        <v>1</v>
      </c>
      <c r="P61" s="14">
        <f t="shared" si="14"/>
        <v>0</v>
      </c>
      <c r="Q61" s="35"/>
      <c r="R61">
        <v>0.28731287673970002</v>
      </c>
      <c r="S61">
        <v>0.18691511895244839</v>
      </c>
      <c r="U61">
        <v>457817.89893417218</v>
      </c>
      <c r="V61">
        <v>167849.45382732269</v>
      </c>
      <c r="W61">
        <f t="shared" si="15"/>
        <v>1</v>
      </c>
      <c r="Y61">
        <v>424043.09531593398</v>
      </c>
      <c r="Z61">
        <v>175552.96487179489</v>
      </c>
      <c r="AA61">
        <f t="shared" si="9"/>
        <v>0</v>
      </c>
      <c r="AB61">
        <f t="shared" si="10"/>
        <v>0</v>
      </c>
      <c r="AC61">
        <f>IF(AND(F61=0, (U61/Z61)*ABS(U61-Z61)&gt;1.05*(Y61/V61)*ABS(Y61-V61)),1,0)</f>
        <v>1</v>
      </c>
      <c r="AD61">
        <f t="shared" si="11"/>
        <v>0</v>
      </c>
    </row>
    <row r="62" spans="2:30" x14ac:dyDescent="0.35">
      <c r="B62" s="15" t="s">
        <v>57</v>
      </c>
      <c r="C62">
        <v>940932.33396226412</v>
      </c>
      <c r="D62">
        <v>871062.91886792448</v>
      </c>
      <c r="E62">
        <f t="shared" si="4"/>
        <v>1</v>
      </c>
      <c r="F62">
        <f t="shared" si="5"/>
        <v>0</v>
      </c>
      <c r="G62">
        <f t="shared" si="6"/>
        <v>0</v>
      </c>
      <c r="H62">
        <f t="shared" si="7"/>
        <v>1</v>
      </c>
      <c r="I62" s="11"/>
      <c r="J62">
        <v>3.1326280725638474E-3</v>
      </c>
      <c r="K62">
        <v>9.2455929060501485E-3</v>
      </c>
      <c r="L62">
        <f t="shared" si="8"/>
        <v>1</v>
      </c>
      <c r="M62">
        <f t="shared" si="12"/>
        <v>1</v>
      </c>
      <c r="N62">
        <f t="shared" si="13"/>
        <v>0</v>
      </c>
      <c r="P62" s="14">
        <f t="shared" si="14"/>
        <v>1</v>
      </c>
      <c r="Q62" s="35"/>
      <c r="R62">
        <v>5.2761416279898847E-3</v>
      </c>
      <c r="S62">
        <v>4.5956416043020491E-4</v>
      </c>
      <c r="U62">
        <v>411961.52709993208</v>
      </c>
      <c r="V62">
        <v>166658.5284988574</v>
      </c>
      <c r="W62">
        <f t="shared" si="15"/>
        <v>1</v>
      </c>
      <c r="Y62">
        <v>402532.44572396722</v>
      </c>
      <c r="Z62">
        <v>182811.3027042349</v>
      </c>
      <c r="AA62">
        <f t="shared" si="9"/>
        <v>0</v>
      </c>
      <c r="AB62">
        <f t="shared" si="10"/>
        <v>1</v>
      </c>
      <c r="AC62">
        <f>IF(AND(F62=0, (U62/Z62)*ABS(U62-Z62)&gt;1.05*(Y62/V62)*ABS(Y62-V62)),1,0)</f>
        <v>0</v>
      </c>
      <c r="AD62">
        <f t="shared" si="11"/>
        <v>0</v>
      </c>
    </row>
    <row r="63" spans="2:30" x14ac:dyDescent="0.35">
      <c r="B63" s="15" t="s">
        <v>58</v>
      </c>
      <c r="C63">
        <v>511091.04454342992</v>
      </c>
      <c r="D63">
        <v>428705.79398663703</v>
      </c>
      <c r="E63">
        <f t="shared" si="4"/>
        <v>1</v>
      </c>
      <c r="F63">
        <f t="shared" si="5"/>
        <v>0</v>
      </c>
      <c r="G63">
        <f t="shared" si="6"/>
        <v>0</v>
      </c>
      <c r="H63">
        <f t="shared" si="7"/>
        <v>1</v>
      </c>
      <c r="I63" s="11"/>
      <c r="J63">
        <v>1.7496766470150506E-2</v>
      </c>
      <c r="K63">
        <v>2.4883859689056355E-2</v>
      </c>
      <c r="L63">
        <f t="shared" si="8"/>
        <v>1</v>
      </c>
      <c r="M63">
        <f t="shared" si="12"/>
        <v>1</v>
      </c>
      <c r="N63">
        <f t="shared" si="13"/>
        <v>0</v>
      </c>
      <c r="P63" s="14">
        <f t="shared" si="14"/>
        <v>1</v>
      </c>
      <c r="Q63" s="35"/>
      <c r="R63">
        <v>0.98325191446831828</v>
      </c>
      <c r="S63">
        <v>0.96640922051025824</v>
      </c>
      <c r="U63">
        <v>62854.235770146617</v>
      </c>
      <c r="V63">
        <v>23819.32581177359</v>
      </c>
      <c r="W63">
        <f t="shared" si="15"/>
        <v>1</v>
      </c>
      <c r="Y63">
        <v>35869.361441798937</v>
      </c>
      <c r="Z63">
        <v>40908.478123191759</v>
      </c>
      <c r="AA63">
        <f t="shared" si="9"/>
        <v>1</v>
      </c>
      <c r="AB63">
        <f t="shared" si="10"/>
        <v>0</v>
      </c>
      <c r="AC63">
        <f>IF(AND(F63=0, (U63/Z63)*ABS(U63-Z63)&gt;1.05*(Y63/V63)*ABS(Y63-V63)),1,0)</f>
        <v>1</v>
      </c>
      <c r="AD63">
        <f t="shared" si="11"/>
        <v>0</v>
      </c>
    </row>
    <row r="64" spans="2:30" x14ac:dyDescent="0.35">
      <c r="B64" s="15" t="s">
        <v>59</v>
      </c>
      <c r="C64">
        <v>1068163.230202578</v>
      </c>
      <c r="D64">
        <v>31486.132596685082</v>
      </c>
      <c r="E64">
        <f t="shared" si="4"/>
        <v>1</v>
      </c>
      <c r="F64">
        <f t="shared" si="5"/>
        <v>1</v>
      </c>
      <c r="G64">
        <f t="shared" si="6"/>
        <v>0</v>
      </c>
      <c r="H64">
        <f t="shared" si="7"/>
        <v>0</v>
      </c>
      <c r="I64" s="11"/>
      <c r="J64">
        <v>3.0153707349637866E-2</v>
      </c>
      <c r="K64">
        <v>3.6585770542362187E-2</v>
      </c>
      <c r="L64">
        <f t="shared" si="8"/>
        <v>1</v>
      </c>
      <c r="M64">
        <f t="shared" si="12"/>
        <v>0</v>
      </c>
      <c r="N64">
        <f t="shared" si="13"/>
        <v>0</v>
      </c>
      <c r="P64" s="14">
        <f t="shared" si="14"/>
        <v>1</v>
      </c>
      <c r="Q64" s="35"/>
      <c r="R64">
        <v>0.33422399922222662</v>
      </c>
      <c r="S64">
        <v>0.50489948047121846</v>
      </c>
      <c r="U64">
        <v>302971.91204797709</v>
      </c>
      <c r="V64">
        <v>5237.1918725384894</v>
      </c>
      <c r="W64">
        <f t="shared" si="15"/>
        <v>1</v>
      </c>
      <c r="Y64">
        <v>6875.0470811112118</v>
      </c>
      <c r="Z64">
        <v>139228.86088274379</v>
      </c>
      <c r="AA64">
        <f t="shared" si="9"/>
        <v>1</v>
      </c>
      <c r="AB64">
        <f t="shared" si="10"/>
        <v>0</v>
      </c>
      <c r="AC64">
        <f>IF(AND(F64=0, (U64/Z64)*ABS(U64-Z64)&gt;1.05*(Y64/V64)*ABS(Y64-V64)),1,0)</f>
        <v>0</v>
      </c>
      <c r="AD64">
        <f t="shared" si="11"/>
        <v>1</v>
      </c>
    </row>
    <row r="65" spans="2:30" x14ac:dyDescent="0.35">
      <c r="B65" s="15" t="s">
        <v>60</v>
      </c>
      <c r="C65">
        <v>1174743.5528571431</v>
      </c>
      <c r="D65">
        <v>37033.797142857147</v>
      </c>
      <c r="E65">
        <f t="shared" si="4"/>
        <v>1</v>
      </c>
      <c r="F65">
        <f t="shared" si="5"/>
        <v>1</v>
      </c>
      <c r="G65">
        <f t="shared" si="6"/>
        <v>0</v>
      </c>
      <c r="H65">
        <f t="shared" si="7"/>
        <v>0</v>
      </c>
      <c r="I65" s="11"/>
      <c r="J65">
        <v>0.17110123124788529</v>
      </c>
      <c r="K65">
        <v>1.9128424225832975E-2</v>
      </c>
      <c r="L65">
        <f t="shared" si="8"/>
        <v>0</v>
      </c>
      <c r="M65">
        <f t="shared" si="12"/>
        <v>0</v>
      </c>
      <c r="N65">
        <f t="shared" si="13"/>
        <v>0</v>
      </c>
      <c r="P65" s="14">
        <f t="shared" si="14"/>
        <v>1</v>
      </c>
      <c r="Q65" s="35"/>
      <c r="R65">
        <v>0.92891144637196443</v>
      </c>
      <c r="S65">
        <v>0.89522368064254898</v>
      </c>
      <c r="U65">
        <v>12498.75</v>
      </c>
      <c r="V65">
        <v>233.53663206327789</v>
      </c>
      <c r="W65">
        <f t="shared" si="15"/>
        <v>1</v>
      </c>
      <c r="Y65">
        <v>2165.4514378072072</v>
      </c>
      <c r="Z65">
        <v>65400.239339119602</v>
      </c>
      <c r="AA65">
        <f t="shared" si="9"/>
        <v>1</v>
      </c>
      <c r="AB65">
        <f t="shared" si="10"/>
        <v>1</v>
      </c>
      <c r="AC65">
        <f>IF(AND(F65=0, (U65/Z65)*ABS(U65-Z65)&gt;1.05*(Y65/V65)*ABS(Y65-V65)),1,0)</f>
        <v>0</v>
      </c>
      <c r="AD65">
        <f t="shared" si="11"/>
        <v>0</v>
      </c>
    </row>
    <row r="66" spans="2:30" x14ac:dyDescent="0.35">
      <c r="B66" s="15" t="s">
        <v>61</v>
      </c>
      <c r="C66">
        <v>1677002.066831683</v>
      </c>
      <c r="D66">
        <v>1691739.798267327</v>
      </c>
      <c r="E66">
        <f t="shared" si="4"/>
        <v>0</v>
      </c>
      <c r="F66">
        <f t="shared" si="5"/>
        <v>0</v>
      </c>
      <c r="G66">
        <f t="shared" si="6"/>
        <v>0</v>
      </c>
      <c r="H66">
        <f t="shared" si="7"/>
        <v>1</v>
      </c>
      <c r="I66" s="11"/>
      <c r="J66">
        <v>1.3416036878010566E-2</v>
      </c>
      <c r="K66">
        <v>1.8151687936466685E-2</v>
      </c>
      <c r="L66">
        <f t="shared" si="8"/>
        <v>1</v>
      </c>
      <c r="M66">
        <f t="shared" si="12"/>
        <v>1</v>
      </c>
      <c r="N66">
        <f t="shared" si="13"/>
        <v>0</v>
      </c>
      <c r="P66" s="14">
        <f t="shared" si="14"/>
        <v>1</v>
      </c>
      <c r="Q66" s="35"/>
      <c r="R66">
        <v>0.90839621326663478</v>
      </c>
      <c r="S66">
        <v>0.81918572406069812</v>
      </c>
      <c r="U66">
        <v>136390.5895584739</v>
      </c>
      <c r="V66">
        <v>118146.83871501349</v>
      </c>
      <c r="W66">
        <f t="shared" si="15"/>
        <v>1</v>
      </c>
      <c r="Y66">
        <v>125374.5475164824</v>
      </c>
      <c r="Z66">
        <v>106436.37993390609</v>
      </c>
      <c r="AA66">
        <f t="shared" si="9"/>
        <v>0</v>
      </c>
      <c r="AB66">
        <f t="shared" si="10"/>
        <v>0</v>
      </c>
      <c r="AC66">
        <f>IF(AND(F66=0, (U66/Z66)*ABS(U66-Z66)&gt;1.05*(Y66/V66)*ABS(Y66-V66)),1,0)</f>
        <v>1</v>
      </c>
      <c r="AD66">
        <f t="shared" si="11"/>
        <v>0</v>
      </c>
    </row>
    <row r="67" spans="2:30" x14ac:dyDescent="0.35">
      <c r="B67" s="15" t="s">
        <v>62</v>
      </c>
      <c r="C67">
        <v>1120830.249056604</v>
      </c>
      <c r="D67">
        <v>846674.40188679239</v>
      </c>
      <c r="E67">
        <f t="shared" si="4"/>
        <v>1</v>
      </c>
      <c r="F67">
        <f t="shared" si="5"/>
        <v>0</v>
      </c>
      <c r="G67">
        <f t="shared" si="6"/>
        <v>0</v>
      </c>
      <c r="H67">
        <f t="shared" si="7"/>
        <v>1</v>
      </c>
      <c r="I67" s="11"/>
      <c r="J67">
        <v>5.4242142779362184E-3</v>
      </c>
      <c r="K67">
        <v>1.2682746834864546E-2</v>
      </c>
      <c r="L67">
        <f t="shared" si="8"/>
        <v>1</v>
      </c>
      <c r="M67">
        <f t="shared" si="12"/>
        <v>1</v>
      </c>
      <c r="N67">
        <f t="shared" si="13"/>
        <v>0</v>
      </c>
      <c r="P67" s="14">
        <f t="shared" si="14"/>
        <v>1</v>
      </c>
      <c r="Q67" s="35"/>
      <c r="R67">
        <v>1.408348033531547E-4</v>
      </c>
      <c r="S67">
        <v>3.9285806884622729E-2</v>
      </c>
      <c r="U67">
        <v>498458.48223858932</v>
      </c>
      <c r="V67">
        <v>153428.89962015941</v>
      </c>
      <c r="W67">
        <f t="shared" si="15"/>
        <v>1</v>
      </c>
      <c r="Y67">
        <v>389296.2664675602</v>
      </c>
      <c r="Z67">
        <v>205659.90925782549</v>
      </c>
      <c r="AA67">
        <f t="shared" si="9"/>
        <v>0</v>
      </c>
      <c r="AB67">
        <f t="shared" si="10"/>
        <v>0</v>
      </c>
      <c r="AC67">
        <f>IF(AND(F67=0, (U67/Z67)*ABS(U67-Z67)&gt;1.05*(Y67/V67)*ABS(Y67-V67)),1,0)</f>
        <v>1</v>
      </c>
      <c r="AD67">
        <f t="shared" si="11"/>
        <v>0</v>
      </c>
    </row>
    <row r="68" spans="2:30" x14ac:dyDescent="0.35">
      <c r="B68" s="15" t="s">
        <v>63</v>
      </c>
      <c r="C68">
        <v>1124365.486784141</v>
      </c>
      <c r="D68">
        <v>1494625.7742290751</v>
      </c>
      <c r="E68">
        <f t="shared" si="4"/>
        <v>0</v>
      </c>
      <c r="F68">
        <f t="shared" si="5"/>
        <v>0</v>
      </c>
      <c r="G68">
        <f t="shared" si="6"/>
        <v>0</v>
      </c>
      <c r="H68">
        <f t="shared" si="7"/>
        <v>1</v>
      </c>
      <c r="I68" s="11"/>
      <c r="J68">
        <v>2.5707948587097001E-2</v>
      </c>
      <c r="K68">
        <v>8.1318558756377935E-3</v>
      </c>
      <c r="L68">
        <f t="shared" si="8"/>
        <v>0</v>
      </c>
      <c r="M68">
        <f t="shared" si="12"/>
        <v>0</v>
      </c>
      <c r="N68">
        <f t="shared" si="13"/>
        <v>1</v>
      </c>
      <c r="P68" s="14">
        <f t="shared" si="14"/>
        <v>0</v>
      </c>
      <c r="Q68" s="35"/>
      <c r="R68">
        <v>0.48758396105328672</v>
      </c>
      <c r="S68">
        <v>0.81047056629108905</v>
      </c>
      <c r="U68">
        <v>241056.69106251121</v>
      </c>
      <c r="V68">
        <v>219980.37963048281</v>
      </c>
      <c r="W68">
        <f t="shared" si="15"/>
        <v>1</v>
      </c>
      <c r="Y68">
        <v>444294.18489045207</v>
      </c>
      <c r="Z68">
        <v>105415.3907512766</v>
      </c>
      <c r="AA68">
        <f t="shared" si="9"/>
        <v>0</v>
      </c>
      <c r="AB68">
        <f t="shared" si="10"/>
        <v>1</v>
      </c>
      <c r="AC68">
        <f>IF(AND(F68=0, (U68/Z68)*ABS(U68-Z68)&gt;1.05*(Y68/V68)*ABS(Y68-V68)),1,0)</f>
        <v>0</v>
      </c>
      <c r="AD68">
        <f t="shared" si="11"/>
        <v>0</v>
      </c>
    </row>
    <row r="69" spans="2:30" x14ac:dyDescent="0.35">
      <c r="B69" s="15" t="s">
        <v>64</v>
      </c>
      <c r="C69">
        <v>1403649.2331288341</v>
      </c>
      <c r="D69">
        <v>24726.838957055221</v>
      </c>
      <c r="E69">
        <f t="shared" si="4"/>
        <v>1</v>
      </c>
      <c r="F69">
        <f t="shared" si="5"/>
        <v>1</v>
      </c>
      <c r="G69">
        <f t="shared" si="6"/>
        <v>0</v>
      </c>
      <c r="H69">
        <f t="shared" si="7"/>
        <v>0</v>
      </c>
      <c r="I69" s="11"/>
      <c r="J69">
        <v>2.2415154209899864E-2</v>
      </c>
      <c r="K69">
        <v>2.7847522862995293E-2</v>
      </c>
      <c r="L69">
        <f t="shared" si="8"/>
        <v>1</v>
      </c>
      <c r="M69">
        <f t="shared" si="12"/>
        <v>0</v>
      </c>
      <c r="N69">
        <f t="shared" si="13"/>
        <v>0</v>
      </c>
      <c r="P69" s="14">
        <f t="shared" si="14"/>
        <v>1</v>
      </c>
      <c r="Q69" s="35"/>
      <c r="R69">
        <v>0.27619849546855968</v>
      </c>
      <c r="S69">
        <v>0.56573714310330314</v>
      </c>
      <c r="U69">
        <v>389212.55334713589</v>
      </c>
      <c r="V69">
        <v>3749.3630126688358</v>
      </c>
      <c r="W69">
        <f t="shared" si="15"/>
        <v>1</v>
      </c>
      <c r="Y69">
        <v>4498.3496652864051</v>
      </c>
      <c r="Z69">
        <v>102158.5582521343</v>
      </c>
      <c r="AA69">
        <f t="shared" si="9"/>
        <v>1</v>
      </c>
      <c r="AB69">
        <f t="shared" si="10"/>
        <v>0</v>
      </c>
      <c r="AC69">
        <f>IF(AND(F69=0, (U69/Z69)*ABS(U69-Z69)&gt;1.05*(Y69/V69)*ABS(Y69-V69)),1,0)</f>
        <v>0</v>
      </c>
      <c r="AD69">
        <f t="shared" si="11"/>
        <v>1</v>
      </c>
    </row>
    <row r="70" spans="2:30" x14ac:dyDescent="0.35">
      <c r="B70" s="15" t="s">
        <v>65</v>
      </c>
      <c r="C70">
        <v>953487.73960216995</v>
      </c>
      <c r="D70">
        <v>1235248.620253165</v>
      </c>
      <c r="E70">
        <f t="shared" si="4"/>
        <v>0</v>
      </c>
      <c r="F70">
        <f t="shared" si="5"/>
        <v>0</v>
      </c>
      <c r="G70">
        <f t="shared" si="6"/>
        <v>0</v>
      </c>
      <c r="H70">
        <f t="shared" si="7"/>
        <v>1</v>
      </c>
      <c r="I70" s="11"/>
      <c r="J70">
        <v>1.8855149265616913E-3</v>
      </c>
      <c r="K70">
        <v>1.6495570721750297E-3</v>
      </c>
      <c r="L70">
        <f t="shared" si="8"/>
        <v>0</v>
      </c>
      <c r="M70">
        <f t="shared" si="12"/>
        <v>0</v>
      </c>
      <c r="N70">
        <f t="shared" si="13"/>
        <v>1</v>
      </c>
      <c r="P70" s="14">
        <f t="shared" si="14"/>
        <v>0</v>
      </c>
      <c r="Q70" s="35"/>
      <c r="R70">
        <v>3.314966390878988E-3</v>
      </c>
      <c r="S70">
        <v>1.703885988916903E-2</v>
      </c>
      <c r="U70">
        <v>421793.27800682769</v>
      </c>
      <c r="V70">
        <v>223851.71548640291</v>
      </c>
      <c r="W70">
        <f t="shared" si="15"/>
        <v>1</v>
      </c>
      <c r="Y70">
        <v>519788.15369081608</v>
      </c>
      <c r="Z70">
        <v>212364.92974101429</v>
      </c>
      <c r="AA70">
        <f t="shared" si="9"/>
        <v>0</v>
      </c>
      <c r="AB70">
        <f t="shared" si="10"/>
        <v>1</v>
      </c>
      <c r="AC70">
        <f>IF(AND(F70=0, (U70/Z70)*ABS(U70-Z70)&gt;1.05*(Y70/V70)*ABS(Y70-V70)),1,0)</f>
        <v>0</v>
      </c>
      <c r="AD70">
        <f t="shared" si="11"/>
        <v>0</v>
      </c>
    </row>
    <row r="71" spans="2:30" x14ac:dyDescent="0.35">
      <c r="B71" s="15" t="s">
        <v>66</v>
      </c>
      <c r="C71">
        <v>1180617.5509433961</v>
      </c>
      <c r="D71">
        <v>809257.71698113205</v>
      </c>
      <c r="E71">
        <f t="shared" si="4"/>
        <v>1</v>
      </c>
      <c r="F71">
        <f t="shared" si="5"/>
        <v>0</v>
      </c>
      <c r="G71">
        <f t="shared" si="6"/>
        <v>0</v>
      </c>
      <c r="H71">
        <f t="shared" si="7"/>
        <v>1</v>
      </c>
      <c r="I71" s="11"/>
      <c r="J71">
        <v>5.1580449735463205E-2</v>
      </c>
      <c r="K71">
        <v>8.3032325541795973E-2</v>
      </c>
      <c r="L71">
        <f t="shared" si="8"/>
        <v>1</v>
      </c>
      <c r="M71">
        <f t="shared" ref="M71:M106" si="16">IF(AND(H71=1, J71&lt;K71),1,0)</f>
        <v>1</v>
      </c>
      <c r="N71">
        <f t="shared" ref="N71:N106" si="17">IF(AND(H71=1, J71&gt;K71),1,0)</f>
        <v>0</v>
      </c>
      <c r="P71" s="14">
        <f t="shared" ref="P71:P106" si="18">IF(F71+M71=1,1,0)</f>
        <v>1</v>
      </c>
      <c r="Q71" s="35"/>
      <c r="R71">
        <v>0.3192068995265035</v>
      </c>
      <c r="S71">
        <v>0.28725864012006103</v>
      </c>
      <c r="U71">
        <v>363510.1697164058</v>
      </c>
      <c r="V71">
        <v>129325.350327384</v>
      </c>
      <c r="W71">
        <f t="shared" ref="W71:W102" si="19">IF(V71&lt;U71,1,0)</f>
        <v>1</v>
      </c>
      <c r="Y71">
        <v>264511.09691699361</v>
      </c>
      <c r="Z71">
        <v>189086.65864687611</v>
      </c>
      <c r="AA71">
        <f t="shared" si="9"/>
        <v>0</v>
      </c>
      <c r="AB71">
        <f t="shared" si="10"/>
        <v>0</v>
      </c>
      <c r="AC71">
        <f>IF(AND(F71=0, (U71/Z71)*ABS(U71-Z71)&gt;1.05*(Y71/V71)*ABS(Y71-V71)),1,0)</f>
        <v>1</v>
      </c>
      <c r="AD71">
        <f t="shared" si="11"/>
        <v>0</v>
      </c>
    </row>
    <row r="72" spans="2:30" x14ac:dyDescent="0.35">
      <c r="B72" s="15" t="s">
        <v>67</v>
      </c>
      <c r="C72">
        <v>1267875.4389473679</v>
      </c>
      <c r="D72">
        <v>4929.5431578947373</v>
      </c>
      <c r="E72">
        <f t="shared" ref="E72:E106" si="20">IF(D72&lt;C72, 1,0)</f>
        <v>1</v>
      </c>
      <c r="F72">
        <f t="shared" ref="F72:F106" si="21">IF(AND(D72&lt;C72,(C72-D72)&gt;(D72*2)),1,0)</f>
        <v>1</v>
      </c>
      <c r="G72">
        <f t="shared" ref="G72:G106" si="22">IF(AND(C72&lt;D72,(D72-C72)&gt;(C72*2)),1,0)</f>
        <v>0</v>
      </c>
      <c r="H72">
        <f t="shared" ref="H72:H106" si="23">IF(F72+G72=0,1,0)</f>
        <v>0</v>
      </c>
      <c r="I72" s="11"/>
      <c r="J72">
        <v>1.6094836251394943E-3</v>
      </c>
      <c r="K72">
        <v>1.8441514761933335E-2</v>
      </c>
      <c r="L72">
        <f t="shared" ref="L72:L106" si="24">IF(J72&lt;K72,1,0)</f>
        <v>1</v>
      </c>
      <c r="M72">
        <f t="shared" si="16"/>
        <v>0</v>
      </c>
      <c r="N72">
        <f t="shared" si="17"/>
        <v>0</v>
      </c>
      <c r="P72" s="14">
        <f t="shared" si="18"/>
        <v>1</v>
      </c>
      <c r="Q72" s="35"/>
      <c r="R72">
        <v>1.5901176485178131E-3</v>
      </c>
      <c r="S72">
        <v>2.0773309028866892E-2</v>
      </c>
      <c r="U72">
        <v>626965.82260804821</v>
      </c>
      <c r="V72">
        <v>1002.280972687582</v>
      </c>
      <c r="W72">
        <f t="shared" si="19"/>
        <v>1</v>
      </c>
      <c r="Y72">
        <v>183.71428571428569</v>
      </c>
      <c r="Z72">
        <v>7669.9480196082559</v>
      </c>
      <c r="AA72">
        <f t="shared" ref="AA72:AA106" si="25">IF(Y72&lt;Z72,1,0)</f>
        <v>1</v>
      </c>
      <c r="AB72">
        <f t="shared" ref="AB72:AB106" si="26">IF(AND((U72/Z72)*ABS(U72-Z72)*1.05&lt;(Y72/V72)*ABS(Y72-V72)),1,0)</f>
        <v>0</v>
      </c>
      <c r="AC72">
        <f>IF(AND(F72=0, (U72/Z72)*ABS(U72-Z72)&gt;1.05*(Y72/V72)*ABS(Y72-V72)),1,0)</f>
        <v>0</v>
      </c>
      <c r="AD72">
        <f t="shared" ref="AD72:AD106" si="27">IF(AB72+AC72=0,1,0)</f>
        <v>1</v>
      </c>
    </row>
    <row r="73" spans="2:30" x14ac:dyDescent="0.35">
      <c r="B73" s="15" t="s">
        <v>68</v>
      </c>
      <c r="C73">
        <v>218392.04724409449</v>
      </c>
      <c r="D73">
        <v>1019900.4913385829</v>
      </c>
      <c r="E73">
        <f t="shared" si="20"/>
        <v>0</v>
      </c>
      <c r="F73">
        <f t="shared" si="21"/>
        <v>0</v>
      </c>
      <c r="G73">
        <f t="shared" si="22"/>
        <v>1</v>
      </c>
      <c r="H73">
        <f t="shared" si="23"/>
        <v>0</v>
      </c>
      <c r="I73" s="11"/>
      <c r="J73">
        <v>1.6103817396659861E-2</v>
      </c>
      <c r="K73">
        <v>1.886432493463049E-3</v>
      </c>
      <c r="L73">
        <f t="shared" si="24"/>
        <v>0</v>
      </c>
      <c r="M73">
        <f t="shared" si="16"/>
        <v>0</v>
      </c>
      <c r="N73">
        <f t="shared" si="17"/>
        <v>0</v>
      </c>
      <c r="P73" s="14">
        <f t="shared" si="18"/>
        <v>0</v>
      </c>
      <c r="Q73" s="35"/>
      <c r="R73">
        <v>8.3254627974480952E-2</v>
      </c>
      <c r="S73">
        <v>0.39060399397668588</v>
      </c>
      <c r="U73">
        <v>121046.98692817229</v>
      </c>
      <c r="V73">
        <v>186455.1596518631</v>
      </c>
      <c r="W73">
        <f t="shared" si="19"/>
        <v>0</v>
      </c>
      <c r="Y73">
        <v>258600.7647244806</v>
      </c>
      <c r="Z73">
        <v>25845.171622133519</v>
      </c>
      <c r="AA73">
        <f t="shared" si="25"/>
        <v>0</v>
      </c>
      <c r="AB73">
        <f t="shared" si="26"/>
        <v>0</v>
      </c>
      <c r="AC73">
        <f>IF(AND(F73=0, (U73/Z73)*ABS(U73-Z73)&gt;1.05*(Y73/V73)*ABS(Y73-V73)),1,0)</f>
        <v>1</v>
      </c>
      <c r="AD73">
        <f t="shared" si="27"/>
        <v>0</v>
      </c>
    </row>
    <row r="74" spans="2:30" x14ac:dyDescent="0.35">
      <c r="B74" s="15" t="s">
        <v>69</v>
      </c>
      <c r="C74">
        <v>1357790.517067004</v>
      </c>
      <c r="D74">
        <v>94011.941845764857</v>
      </c>
      <c r="E74">
        <f t="shared" si="20"/>
        <v>1</v>
      </c>
      <c r="F74">
        <f t="shared" si="21"/>
        <v>1</v>
      </c>
      <c r="G74">
        <f t="shared" si="22"/>
        <v>0</v>
      </c>
      <c r="H74">
        <f t="shared" si="23"/>
        <v>0</v>
      </c>
      <c r="I74" s="11"/>
      <c r="J74">
        <v>2.5817803958278294E-2</v>
      </c>
      <c r="K74">
        <v>4.8963011735975913E-2</v>
      </c>
      <c r="L74">
        <f t="shared" si="24"/>
        <v>1</v>
      </c>
      <c r="M74">
        <f t="shared" si="16"/>
        <v>0</v>
      </c>
      <c r="N74">
        <f t="shared" si="17"/>
        <v>0</v>
      </c>
      <c r="P74" s="14">
        <f t="shared" si="18"/>
        <v>1</v>
      </c>
      <c r="Q74" s="35"/>
      <c r="R74">
        <v>0.31610260882568753</v>
      </c>
      <c r="S74">
        <v>0.35474897068410599</v>
      </c>
      <c r="U74">
        <v>342725.86380540091</v>
      </c>
      <c r="V74">
        <v>14325.408022057311</v>
      </c>
      <c r="W74">
        <f t="shared" si="19"/>
        <v>1</v>
      </c>
      <c r="Y74">
        <v>20561.876183360149</v>
      </c>
      <c r="Z74">
        <v>168165.9749742875</v>
      </c>
      <c r="AA74">
        <f t="shared" si="25"/>
        <v>1</v>
      </c>
      <c r="AB74">
        <f t="shared" si="26"/>
        <v>0</v>
      </c>
      <c r="AC74">
        <f>IF(AND(F74=0, (U74/Z74)*ABS(U74-Z74)&gt;1.05*(Y74/V74)*ABS(Y74-V74)),1,0)</f>
        <v>0</v>
      </c>
      <c r="AD74">
        <f t="shared" si="27"/>
        <v>1</v>
      </c>
    </row>
    <row r="75" spans="2:30" x14ac:dyDescent="0.35">
      <c r="B75" s="15" t="s">
        <v>70</v>
      </c>
      <c r="C75">
        <v>706695.77554179565</v>
      </c>
      <c r="D75">
        <v>743741.4628482972</v>
      </c>
      <c r="E75">
        <f t="shared" si="20"/>
        <v>0</v>
      </c>
      <c r="F75">
        <f t="shared" si="21"/>
        <v>0</v>
      </c>
      <c r="G75">
        <f t="shared" si="22"/>
        <v>0</v>
      </c>
      <c r="H75">
        <f t="shared" si="23"/>
        <v>1</v>
      </c>
      <c r="I75" s="11"/>
      <c r="J75">
        <v>4.8987030965034206E-3</v>
      </c>
      <c r="K75">
        <v>1.1006494650882144E-2</v>
      </c>
      <c r="L75">
        <f t="shared" si="24"/>
        <v>1</v>
      </c>
      <c r="M75">
        <f t="shared" si="16"/>
        <v>1</v>
      </c>
      <c r="N75">
        <f t="shared" si="17"/>
        <v>0</v>
      </c>
      <c r="P75" s="14">
        <f t="shared" si="18"/>
        <v>1</v>
      </c>
      <c r="Q75" s="35"/>
      <c r="R75">
        <v>8.1512084470842852E-5</v>
      </c>
      <c r="S75">
        <v>1.170790671270925E-2</v>
      </c>
      <c r="U75">
        <v>333520.59077662608</v>
      </c>
      <c r="V75">
        <v>147702.264030344</v>
      </c>
      <c r="W75">
        <f t="shared" si="19"/>
        <v>1</v>
      </c>
      <c r="Y75">
        <v>372643.86143015692</v>
      </c>
      <c r="Z75">
        <v>138278.731343347</v>
      </c>
      <c r="AA75">
        <f t="shared" si="25"/>
        <v>0</v>
      </c>
      <c r="AB75">
        <f t="shared" si="26"/>
        <v>1</v>
      </c>
      <c r="AC75">
        <f>IF(AND(F75=0, (U75/Z75)*ABS(U75-Z75)&gt;1.05*(Y75/V75)*ABS(Y75-V75)),1,0)</f>
        <v>0</v>
      </c>
      <c r="AD75">
        <f t="shared" si="27"/>
        <v>0</v>
      </c>
    </row>
    <row r="76" spans="2:30" x14ac:dyDescent="0.35">
      <c r="B76" s="15" t="s">
        <v>71</v>
      </c>
      <c r="C76">
        <v>1020001.267686425</v>
      </c>
      <c r="D76">
        <v>34078.791586998093</v>
      </c>
      <c r="E76">
        <f t="shared" si="20"/>
        <v>1</v>
      </c>
      <c r="F76">
        <f t="shared" si="21"/>
        <v>1</v>
      </c>
      <c r="G76">
        <f t="shared" si="22"/>
        <v>0</v>
      </c>
      <c r="H76">
        <f t="shared" si="23"/>
        <v>0</v>
      </c>
      <c r="I76" s="11"/>
      <c r="J76">
        <v>2.8042666821559582E-2</v>
      </c>
      <c r="K76">
        <v>3.4985824638769598E-2</v>
      </c>
      <c r="L76">
        <f t="shared" si="24"/>
        <v>1</v>
      </c>
      <c r="M76">
        <f t="shared" si="16"/>
        <v>0</v>
      </c>
      <c r="N76">
        <f t="shared" si="17"/>
        <v>0</v>
      </c>
      <c r="P76" s="14">
        <f t="shared" si="18"/>
        <v>1</v>
      </c>
      <c r="Q76" s="35"/>
      <c r="R76">
        <v>0.33016199895202092</v>
      </c>
      <c r="S76">
        <v>0.52676117497041819</v>
      </c>
      <c r="U76">
        <v>319766.91166100779</v>
      </c>
      <c r="V76">
        <v>5774.8822949381774</v>
      </c>
      <c r="W76">
        <f t="shared" si="19"/>
        <v>1</v>
      </c>
      <c r="Y76">
        <v>7942.9520947176688</v>
      </c>
      <c r="Z76">
        <v>157975.8203438069</v>
      </c>
      <c r="AA76">
        <f t="shared" si="25"/>
        <v>1</v>
      </c>
      <c r="AB76">
        <f t="shared" si="26"/>
        <v>0</v>
      </c>
      <c r="AC76">
        <f>IF(AND(F76=0, (U76/Z76)*ABS(U76-Z76)&gt;1.05*(Y76/V76)*ABS(Y76-V76)),1,0)</f>
        <v>0</v>
      </c>
      <c r="AD76">
        <f t="shared" si="27"/>
        <v>1</v>
      </c>
    </row>
    <row r="77" spans="2:30" x14ac:dyDescent="0.35">
      <c r="B77" s="15" t="s">
        <v>72</v>
      </c>
      <c r="C77">
        <v>1436258.786106033</v>
      </c>
      <c r="D77">
        <v>915266.64899451553</v>
      </c>
      <c r="E77">
        <f t="shared" si="20"/>
        <v>1</v>
      </c>
      <c r="F77">
        <f t="shared" si="21"/>
        <v>0</v>
      </c>
      <c r="G77">
        <f t="shared" si="22"/>
        <v>0</v>
      </c>
      <c r="H77">
        <f t="shared" si="23"/>
        <v>1</v>
      </c>
      <c r="I77" s="11"/>
      <c r="J77">
        <v>2.0910812371185594E-2</v>
      </c>
      <c r="K77">
        <v>2.8099836851033573E-2</v>
      </c>
      <c r="L77">
        <f t="shared" si="24"/>
        <v>1</v>
      </c>
      <c r="M77">
        <f t="shared" si="16"/>
        <v>1</v>
      </c>
      <c r="N77">
        <f t="shared" si="17"/>
        <v>0</v>
      </c>
      <c r="P77" s="14">
        <f t="shared" si="18"/>
        <v>1</v>
      </c>
      <c r="Q77" s="35"/>
      <c r="R77">
        <v>0.70433405740798549</v>
      </c>
      <c r="S77">
        <v>0.86233433296054962</v>
      </c>
      <c r="U77">
        <v>178418.95198810479</v>
      </c>
      <c r="V77">
        <v>85059.275069269555</v>
      </c>
      <c r="W77">
        <f t="shared" si="19"/>
        <v>1</v>
      </c>
      <c r="Y77">
        <v>134185.47056616921</v>
      </c>
      <c r="Z77">
        <v>112115.606221004</v>
      </c>
      <c r="AA77">
        <f t="shared" si="25"/>
        <v>0</v>
      </c>
      <c r="AB77">
        <f t="shared" si="26"/>
        <v>0</v>
      </c>
      <c r="AC77">
        <f>IF(AND(F77=0, (U77/Z77)*ABS(U77-Z77)&gt;1.05*(Y77/V77)*ABS(Y77-V77)),1,0)</f>
        <v>1</v>
      </c>
      <c r="AD77">
        <f t="shared" si="27"/>
        <v>0</v>
      </c>
    </row>
    <row r="78" spans="2:30" x14ac:dyDescent="0.35">
      <c r="B78" s="15" t="s">
        <v>73</v>
      </c>
      <c r="C78">
        <v>848257.35416666663</v>
      </c>
      <c r="D78">
        <v>29038.008928571431</v>
      </c>
      <c r="E78">
        <f t="shared" si="20"/>
        <v>1</v>
      </c>
      <c r="F78">
        <f t="shared" si="21"/>
        <v>1</v>
      </c>
      <c r="G78">
        <f t="shared" si="22"/>
        <v>0</v>
      </c>
      <c r="H78">
        <f t="shared" si="23"/>
        <v>0</v>
      </c>
      <c r="I78" s="11"/>
      <c r="J78">
        <v>7.6013473174811733E-2</v>
      </c>
      <c r="K78">
        <v>2.1899229480464452E-2</v>
      </c>
      <c r="L78">
        <f t="shared" si="24"/>
        <v>0</v>
      </c>
      <c r="M78">
        <f t="shared" si="16"/>
        <v>0</v>
      </c>
      <c r="N78">
        <f t="shared" si="17"/>
        <v>0</v>
      </c>
      <c r="P78" s="14">
        <f t="shared" si="18"/>
        <v>1</v>
      </c>
      <c r="Q78" s="35"/>
      <c r="R78">
        <v>0.28077403453310817</v>
      </c>
      <c r="S78">
        <v>0.51208910970390631</v>
      </c>
      <c r="U78">
        <v>276601.36971212347</v>
      </c>
      <c r="V78">
        <v>4991.5282155409895</v>
      </c>
      <c r="W78">
        <f t="shared" si="19"/>
        <v>1</v>
      </c>
      <c r="Y78">
        <v>4980.8896220976903</v>
      </c>
      <c r="Z78">
        <v>72477.35552941967</v>
      </c>
      <c r="AA78">
        <f t="shared" si="25"/>
        <v>1</v>
      </c>
      <c r="AB78">
        <f t="shared" si="26"/>
        <v>0</v>
      </c>
      <c r="AC78">
        <f>IF(AND(F78=0, (U78/Z78)*ABS(U78-Z78)&gt;1.05*(Y78/V78)*ABS(Y78-V78)),1,0)</f>
        <v>0</v>
      </c>
      <c r="AD78">
        <f t="shared" si="27"/>
        <v>1</v>
      </c>
    </row>
    <row r="79" spans="2:30" x14ac:dyDescent="0.35">
      <c r="B79" s="15" t="s">
        <v>74</v>
      </c>
      <c r="C79">
        <v>1644977.25959368</v>
      </c>
      <c r="D79">
        <v>89231.352144469522</v>
      </c>
      <c r="E79">
        <f t="shared" si="20"/>
        <v>1</v>
      </c>
      <c r="F79">
        <f t="shared" si="21"/>
        <v>1</v>
      </c>
      <c r="G79">
        <f t="shared" si="22"/>
        <v>0</v>
      </c>
      <c r="H79">
        <f t="shared" si="23"/>
        <v>0</v>
      </c>
      <c r="I79" s="11"/>
      <c r="J79">
        <v>1.4862536264126654E-2</v>
      </c>
      <c r="K79">
        <v>1.1602771469254314E-2</v>
      </c>
      <c r="L79">
        <f t="shared" si="24"/>
        <v>0</v>
      </c>
      <c r="M79">
        <f t="shared" si="16"/>
        <v>0</v>
      </c>
      <c r="N79">
        <f t="shared" si="17"/>
        <v>0</v>
      </c>
      <c r="P79" s="14">
        <f t="shared" si="18"/>
        <v>1</v>
      </c>
      <c r="Q79" s="35"/>
      <c r="R79">
        <v>0.96535958266920818</v>
      </c>
      <c r="S79">
        <v>0.96241015857459644</v>
      </c>
      <c r="U79">
        <v>119957.0516950726</v>
      </c>
      <c r="V79">
        <v>4744.451231878169</v>
      </c>
      <c r="W79">
        <f t="shared" si="19"/>
        <v>1</v>
      </c>
      <c r="Y79">
        <v>7010.2116993992167</v>
      </c>
      <c r="Z79">
        <v>87195.313594971929</v>
      </c>
      <c r="AA79">
        <f t="shared" si="25"/>
        <v>1</v>
      </c>
      <c r="AB79">
        <f t="shared" si="26"/>
        <v>0</v>
      </c>
      <c r="AC79">
        <f>IF(AND(F79=0, (U79/Z79)*ABS(U79-Z79)&gt;1.05*(Y79/V79)*ABS(Y79-V79)),1,0)</f>
        <v>0</v>
      </c>
      <c r="AD79">
        <f t="shared" si="27"/>
        <v>1</v>
      </c>
    </row>
    <row r="80" spans="2:30" x14ac:dyDescent="0.35">
      <c r="B80" s="15" t="s">
        <v>75</v>
      </c>
      <c r="C80">
        <v>744709.83631361765</v>
      </c>
      <c r="D80">
        <v>1116149.152682256</v>
      </c>
      <c r="E80">
        <f t="shared" si="20"/>
        <v>0</v>
      </c>
      <c r="F80">
        <f t="shared" si="21"/>
        <v>0</v>
      </c>
      <c r="G80">
        <f t="shared" si="22"/>
        <v>0</v>
      </c>
      <c r="H80">
        <f t="shared" si="23"/>
        <v>1</v>
      </c>
      <c r="I80" s="11"/>
      <c r="J80">
        <v>1.3934183296914242E-2</v>
      </c>
      <c r="K80">
        <v>3.0009626803163235E-2</v>
      </c>
      <c r="L80">
        <f t="shared" si="24"/>
        <v>1</v>
      </c>
      <c r="M80">
        <f t="shared" si="16"/>
        <v>1</v>
      </c>
      <c r="N80">
        <f t="shared" si="17"/>
        <v>0</v>
      </c>
      <c r="P80" s="14">
        <f t="shared" si="18"/>
        <v>1</v>
      </c>
      <c r="Q80" s="35"/>
      <c r="R80">
        <v>0.81495706242016053</v>
      </c>
      <c r="S80">
        <v>0.79728091611363672</v>
      </c>
      <c r="U80">
        <v>91540.002984126972</v>
      </c>
      <c r="V80">
        <v>91337.762874149659</v>
      </c>
      <c r="W80">
        <f t="shared" si="19"/>
        <v>1</v>
      </c>
      <c r="Y80">
        <v>153179.3750720479</v>
      </c>
      <c r="Z80">
        <v>63372.554702324749</v>
      </c>
      <c r="AA80">
        <f t="shared" si="25"/>
        <v>0</v>
      </c>
      <c r="AB80">
        <f t="shared" si="26"/>
        <v>1</v>
      </c>
      <c r="AC80">
        <f>IF(AND(F80=0, (U80/Z80)*ABS(U80-Z80)&gt;1.05*(Y80/V80)*ABS(Y80-V80)),1,0)</f>
        <v>0</v>
      </c>
      <c r="AD80">
        <f t="shared" si="27"/>
        <v>0</v>
      </c>
    </row>
    <row r="81" spans="2:30" x14ac:dyDescent="0.35">
      <c r="B81" s="15" t="s">
        <v>76</v>
      </c>
      <c r="C81">
        <v>922113.85471698106</v>
      </c>
      <c r="D81">
        <v>1068808.5943396231</v>
      </c>
      <c r="E81">
        <f t="shared" si="20"/>
        <v>0</v>
      </c>
      <c r="F81">
        <f t="shared" si="21"/>
        <v>0</v>
      </c>
      <c r="G81">
        <f t="shared" si="22"/>
        <v>0</v>
      </c>
      <c r="H81">
        <f t="shared" si="23"/>
        <v>1</v>
      </c>
      <c r="I81" s="11"/>
      <c r="J81">
        <v>4.6099134025870398E-4</v>
      </c>
      <c r="K81">
        <v>8.8407551079788191E-3</v>
      </c>
      <c r="L81">
        <f t="shared" si="24"/>
        <v>1</v>
      </c>
      <c r="M81">
        <f t="shared" si="16"/>
        <v>1</v>
      </c>
      <c r="N81">
        <f t="shared" si="17"/>
        <v>0</v>
      </c>
      <c r="P81" s="14">
        <f t="shared" si="18"/>
        <v>1</v>
      </c>
      <c r="Q81" s="35"/>
      <c r="R81">
        <v>2.0614054216808219E-3</v>
      </c>
      <c r="S81">
        <v>2.595142496535506E-2</v>
      </c>
      <c r="U81">
        <v>418201.61828639358</v>
      </c>
      <c r="V81">
        <v>210626.54068463959</v>
      </c>
      <c r="W81">
        <f t="shared" si="19"/>
        <v>1</v>
      </c>
      <c r="Y81">
        <v>424446.75437640701</v>
      </c>
      <c r="Z81">
        <v>186435.8202764141</v>
      </c>
      <c r="AA81">
        <f t="shared" si="25"/>
        <v>0</v>
      </c>
      <c r="AB81">
        <f t="shared" si="26"/>
        <v>0</v>
      </c>
      <c r="AC81">
        <f>IF(AND(F81=0, (U81/Z81)*ABS(U81-Z81)&gt;1.05*(Y81/V81)*ABS(Y81-V81)),1,0)</f>
        <v>1</v>
      </c>
      <c r="AD81">
        <f t="shared" si="27"/>
        <v>0</v>
      </c>
    </row>
    <row r="82" spans="2:30" x14ac:dyDescent="0.35">
      <c r="B82" s="15" t="s">
        <v>77</v>
      </c>
      <c r="C82">
        <v>473094.40028490027</v>
      </c>
      <c r="D82">
        <v>1152.049857549858</v>
      </c>
      <c r="E82">
        <f t="shared" si="20"/>
        <v>1</v>
      </c>
      <c r="F82">
        <f t="shared" si="21"/>
        <v>1</v>
      </c>
      <c r="G82">
        <f t="shared" si="22"/>
        <v>0</v>
      </c>
      <c r="H82">
        <f t="shared" si="23"/>
        <v>0</v>
      </c>
      <c r="I82" s="11"/>
      <c r="J82">
        <v>1.97259445643501E-2</v>
      </c>
      <c r="K82">
        <v>0.30703850059345084</v>
      </c>
      <c r="L82">
        <f t="shared" si="24"/>
        <v>1</v>
      </c>
      <c r="M82">
        <f t="shared" si="16"/>
        <v>0</v>
      </c>
      <c r="N82">
        <f t="shared" si="17"/>
        <v>0</v>
      </c>
      <c r="P82" s="14">
        <f t="shared" si="18"/>
        <v>1</v>
      </c>
      <c r="Q82" s="35"/>
      <c r="R82">
        <v>0.33162193299227449</v>
      </c>
      <c r="S82">
        <v>3.5496509806398943E-2</v>
      </c>
      <c r="U82">
        <v>136355.15053568879</v>
      </c>
      <c r="V82">
        <v>203.82004774461041</v>
      </c>
      <c r="W82">
        <f t="shared" si="19"/>
        <v>1</v>
      </c>
      <c r="Y82">
        <v>12.54117647058824</v>
      </c>
      <c r="Z82">
        <v>3364.7469961056549</v>
      </c>
      <c r="AA82">
        <f t="shared" si="25"/>
        <v>1</v>
      </c>
      <c r="AB82">
        <f t="shared" si="26"/>
        <v>0</v>
      </c>
      <c r="AC82">
        <f>IF(AND(F82=0, (U82/Z82)*ABS(U82-Z82)&gt;1.05*(Y82/V82)*ABS(Y82-V82)),1,0)</f>
        <v>0</v>
      </c>
      <c r="AD82">
        <f t="shared" si="27"/>
        <v>1</v>
      </c>
    </row>
    <row r="83" spans="2:30" x14ac:dyDescent="0.35">
      <c r="B83" s="15" t="s">
        <v>78</v>
      </c>
      <c r="C83">
        <v>1694132.660418964</v>
      </c>
      <c r="D83">
        <v>1309082.2800441009</v>
      </c>
      <c r="E83">
        <f t="shared" si="20"/>
        <v>1</v>
      </c>
      <c r="F83">
        <f t="shared" si="21"/>
        <v>0</v>
      </c>
      <c r="G83">
        <f t="shared" si="22"/>
        <v>0</v>
      </c>
      <c r="H83">
        <f t="shared" si="23"/>
        <v>1</v>
      </c>
      <c r="I83" s="11"/>
      <c r="J83">
        <v>3.4129536286998184E-2</v>
      </c>
      <c r="K83">
        <v>4.0879023808966422E-2</v>
      </c>
      <c r="L83">
        <f t="shared" si="24"/>
        <v>1</v>
      </c>
      <c r="M83">
        <f t="shared" si="16"/>
        <v>1</v>
      </c>
      <c r="N83">
        <f t="shared" si="17"/>
        <v>0</v>
      </c>
      <c r="P83" s="14">
        <f t="shared" si="18"/>
        <v>1</v>
      </c>
      <c r="Q83" s="35"/>
      <c r="R83">
        <v>9.6532066061610425E-2</v>
      </c>
      <c r="S83">
        <v>1.9708180297510262E-2</v>
      </c>
      <c r="U83">
        <v>598199.37173340982</v>
      </c>
      <c r="V83">
        <v>249410.81136295089</v>
      </c>
      <c r="W83">
        <f t="shared" si="19"/>
        <v>1</v>
      </c>
      <c r="Y83">
        <v>516815.38939531369</v>
      </c>
      <c r="Z83">
        <v>320292.23596217268</v>
      </c>
      <c r="AA83">
        <f t="shared" si="25"/>
        <v>0</v>
      </c>
      <c r="AB83">
        <f t="shared" si="26"/>
        <v>1</v>
      </c>
      <c r="AC83">
        <f>IF(AND(F83=0, (U83/Z83)*ABS(U83-Z83)&gt;1.05*(Y83/V83)*ABS(Y83-V83)),1,0)</f>
        <v>0</v>
      </c>
      <c r="AD83">
        <f t="shared" si="27"/>
        <v>0</v>
      </c>
    </row>
    <row r="84" spans="2:30" x14ac:dyDescent="0.35">
      <c r="B84" s="15" t="s">
        <v>79</v>
      </c>
      <c r="C84">
        <v>242874.37215189869</v>
      </c>
      <c r="D84">
        <v>911095.08227848099</v>
      </c>
      <c r="E84">
        <f t="shared" si="20"/>
        <v>0</v>
      </c>
      <c r="F84">
        <f t="shared" si="21"/>
        <v>0</v>
      </c>
      <c r="G84">
        <f t="shared" si="22"/>
        <v>1</v>
      </c>
      <c r="H84">
        <f t="shared" si="23"/>
        <v>0</v>
      </c>
      <c r="I84" s="11"/>
      <c r="J84">
        <v>3.3187861701660326E-2</v>
      </c>
      <c r="K84">
        <v>1.3585021656272742E-2</v>
      </c>
      <c r="L84">
        <f t="shared" si="24"/>
        <v>0</v>
      </c>
      <c r="M84">
        <f t="shared" si="16"/>
        <v>0</v>
      </c>
      <c r="N84">
        <f t="shared" si="17"/>
        <v>0</v>
      </c>
      <c r="P84" s="14">
        <f t="shared" si="18"/>
        <v>0</v>
      </c>
      <c r="Q84" s="35"/>
      <c r="R84">
        <v>9.1418867187124137E-2</v>
      </c>
      <c r="S84">
        <v>0.9389016032276063</v>
      </c>
      <c r="U84">
        <v>32229.10057601373</v>
      </c>
      <c r="V84">
        <v>69926.067747564404</v>
      </c>
      <c r="W84">
        <f t="shared" si="19"/>
        <v>0</v>
      </c>
      <c r="Y84">
        <v>239358.983670213</v>
      </c>
      <c r="Z84">
        <v>28668.60902247336</v>
      </c>
      <c r="AA84">
        <f t="shared" si="25"/>
        <v>0</v>
      </c>
      <c r="AB84">
        <f t="shared" si="26"/>
        <v>1</v>
      </c>
      <c r="AC84">
        <f>IF(AND(F84=0, (U84/Z84)*ABS(U84-Z84)&gt;1.05*(Y84/V84)*ABS(Y84-V84)),1,0)</f>
        <v>0</v>
      </c>
      <c r="AD84">
        <f t="shared" si="27"/>
        <v>0</v>
      </c>
    </row>
    <row r="85" spans="2:30" x14ac:dyDescent="0.35">
      <c r="B85" s="15" t="s">
        <v>80</v>
      </c>
      <c r="C85">
        <v>1123069.693495038</v>
      </c>
      <c r="D85">
        <v>1371432.8765159871</v>
      </c>
      <c r="E85">
        <f t="shared" si="20"/>
        <v>0</v>
      </c>
      <c r="F85">
        <f t="shared" si="21"/>
        <v>0</v>
      </c>
      <c r="G85">
        <f t="shared" si="22"/>
        <v>0</v>
      </c>
      <c r="H85">
        <f t="shared" si="23"/>
        <v>1</v>
      </c>
      <c r="I85" s="11"/>
      <c r="J85">
        <v>1.3537929872212391E-2</v>
      </c>
      <c r="K85">
        <v>2.8461408001084983E-2</v>
      </c>
      <c r="L85">
        <f t="shared" si="24"/>
        <v>1</v>
      </c>
      <c r="M85">
        <f t="shared" si="16"/>
        <v>1</v>
      </c>
      <c r="N85">
        <f t="shared" si="17"/>
        <v>0</v>
      </c>
      <c r="P85" s="14">
        <f t="shared" si="18"/>
        <v>1</v>
      </c>
      <c r="Q85" s="35"/>
      <c r="R85">
        <v>0.33703536079196422</v>
      </c>
      <c r="S85">
        <v>0.2084038937672083</v>
      </c>
      <c r="U85">
        <v>282628.31915894372</v>
      </c>
      <c r="V85">
        <v>217399.2348991966</v>
      </c>
      <c r="W85">
        <f t="shared" si="19"/>
        <v>1</v>
      </c>
      <c r="Y85">
        <v>441542.32796889252</v>
      </c>
      <c r="Z85">
        <v>204131.4545826492</v>
      </c>
      <c r="AA85">
        <f t="shared" si="25"/>
        <v>0</v>
      </c>
      <c r="AB85">
        <f t="shared" si="26"/>
        <v>1</v>
      </c>
      <c r="AC85">
        <f>IF(AND(F85=0, (U85/Z85)*ABS(U85-Z85)&gt;1.05*(Y85/V85)*ABS(Y85-V85)),1,0)</f>
        <v>0</v>
      </c>
      <c r="AD85">
        <f t="shared" si="27"/>
        <v>0</v>
      </c>
    </row>
    <row r="86" spans="2:30" x14ac:dyDescent="0.35">
      <c r="B86" s="15" t="s">
        <v>81</v>
      </c>
      <c r="C86">
        <v>1630829.194046306</v>
      </c>
      <c r="D86">
        <v>2097741.8820286659</v>
      </c>
      <c r="E86">
        <f t="shared" si="20"/>
        <v>0</v>
      </c>
      <c r="F86">
        <f t="shared" si="21"/>
        <v>0</v>
      </c>
      <c r="G86">
        <f t="shared" si="22"/>
        <v>0</v>
      </c>
      <c r="H86">
        <f t="shared" si="23"/>
        <v>1</v>
      </c>
      <c r="I86" s="11"/>
      <c r="J86">
        <v>1.7009084889736938E-2</v>
      </c>
      <c r="K86">
        <v>1.5513398208156415E-2</v>
      </c>
      <c r="L86">
        <f t="shared" si="24"/>
        <v>0</v>
      </c>
      <c r="M86">
        <f t="shared" si="16"/>
        <v>0</v>
      </c>
      <c r="N86">
        <f t="shared" si="17"/>
        <v>1</v>
      </c>
      <c r="P86" s="14">
        <f t="shared" si="18"/>
        <v>0</v>
      </c>
      <c r="Q86" s="35"/>
      <c r="R86">
        <v>0.60348323552328609</v>
      </c>
      <c r="S86">
        <v>0.60570735005177168</v>
      </c>
      <c r="U86">
        <v>350571.81474158878</v>
      </c>
      <c r="V86">
        <v>280461.95041612291</v>
      </c>
      <c r="W86">
        <f t="shared" si="19"/>
        <v>1</v>
      </c>
      <c r="Y86">
        <v>467528.4525434699</v>
      </c>
      <c r="Z86">
        <v>210054.21832325339</v>
      </c>
      <c r="AA86">
        <f t="shared" si="25"/>
        <v>0</v>
      </c>
      <c r="AB86">
        <f t="shared" si="26"/>
        <v>1</v>
      </c>
      <c r="AC86">
        <f>IF(AND(F86=0, (U86/Z86)*ABS(U86-Z86)&gt;1.05*(Y86/V86)*ABS(Y86-V86)),1,0)</f>
        <v>0</v>
      </c>
      <c r="AD86">
        <f t="shared" si="27"/>
        <v>0</v>
      </c>
    </row>
    <row r="87" spans="2:30" x14ac:dyDescent="0.35">
      <c r="B87" s="15" t="s">
        <v>82</v>
      </c>
      <c r="C87">
        <v>1589117.712418301</v>
      </c>
      <c r="D87">
        <v>40483.241830065359</v>
      </c>
      <c r="E87">
        <f t="shared" si="20"/>
        <v>1</v>
      </c>
      <c r="F87">
        <f t="shared" si="21"/>
        <v>1</v>
      </c>
      <c r="G87">
        <f t="shared" si="22"/>
        <v>0</v>
      </c>
      <c r="H87">
        <f t="shared" si="23"/>
        <v>0</v>
      </c>
      <c r="I87" s="11"/>
      <c r="J87">
        <v>6.025689979524824E-3</v>
      </c>
      <c r="K87">
        <v>1.1909997345814922E-2</v>
      </c>
      <c r="L87">
        <f t="shared" si="24"/>
        <v>1</v>
      </c>
      <c r="M87">
        <f t="shared" si="16"/>
        <v>0</v>
      </c>
      <c r="N87">
        <f t="shared" si="17"/>
        <v>0</v>
      </c>
      <c r="P87" s="14">
        <f t="shared" si="18"/>
        <v>1</v>
      </c>
      <c r="Q87" s="35"/>
      <c r="R87">
        <v>7.8425650229252926E-8</v>
      </c>
      <c r="S87">
        <v>7.5921878268367327E-2</v>
      </c>
      <c r="U87">
        <v>553100.47772817919</v>
      </c>
      <c r="V87">
        <v>6771.6352300620283</v>
      </c>
      <c r="W87">
        <f t="shared" si="19"/>
        <v>1</v>
      </c>
      <c r="Y87">
        <v>8921.7579374857251</v>
      </c>
      <c r="Z87">
        <v>263463.79848137521</v>
      </c>
      <c r="AA87">
        <f t="shared" si="25"/>
        <v>1</v>
      </c>
      <c r="AB87">
        <f t="shared" si="26"/>
        <v>0</v>
      </c>
      <c r="AC87">
        <f>IF(AND(F87=0, (U87/Z87)*ABS(U87-Z87)&gt;1.05*(Y87/V87)*ABS(Y87-V87)),1,0)</f>
        <v>0</v>
      </c>
      <c r="AD87">
        <f t="shared" si="27"/>
        <v>1</v>
      </c>
    </row>
    <row r="88" spans="2:30" x14ac:dyDescent="0.35">
      <c r="B88" s="15" t="s">
        <v>83</v>
      </c>
      <c r="C88">
        <v>848392.40802675579</v>
      </c>
      <c r="D88">
        <v>1167747.466555184</v>
      </c>
      <c r="E88">
        <f t="shared" si="20"/>
        <v>0</v>
      </c>
      <c r="F88">
        <f t="shared" si="21"/>
        <v>0</v>
      </c>
      <c r="G88">
        <f t="shared" si="22"/>
        <v>0</v>
      </c>
      <c r="H88">
        <f t="shared" si="23"/>
        <v>1</v>
      </c>
      <c r="I88" s="11"/>
      <c r="J88">
        <v>4.8917684345974412E-2</v>
      </c>
      <c r="K88">
        <v>3.1399725509168606E-2</v>
      </c>
      <c r="L88">
        <f t="shared" si="24"/>
        <v>0</v>
      </c>
      <c r="M88">
        <f t="shared" si="16"/>
        <v>0</v>
      </c>
      <c r="N88">
        <f t="shared" si="17"/>
        <v>1</v>
      </c>
      <c r="P88" s="14">
        <f t="shared" si="18"/>
        <v>0</v>
      </c>
      <c r="Q88" s="35"/>
      <c r="R88">
        <v>2.697349973666701E-3</v>
      </c>
      <c r="S88">
        <v>9.7910914997794724E-2</v>
      </c>
      <c r="U88">
        <v>331495.47763239132</v>
      </c>
      <c r="V88">
        <v>205209.91469079559</v>
      </c>
      <c r="W88">
        <f t="shared" si="19"/>
        <v>1</v>
      </c>
      <c r="Y88">
        <v>433669.32671180042</v>
      </c>
      <c r="Z88">
        <v>155445.78965881999</v>
      </c>
      <c r="AA88">
        <f t="shared" si="25"/>
        <v>0</v>
      </c>
      <c r="AB88">
        <f t="shared" si="26"/>
        <v>1</v>
      </c>
      <c r="AC88">
        <f>IF(AND(F88=0, (U88/Z88)*ABS(U88-Z88)&gt;1.05*(Y88/V88)*ABS(Y88-V88)),1,0)</f>
        <v>0</v>
      </c>
      <c r="AD88">
        <f t="shared" si="27"/>
        <v>0</v>
      </c>
    </row>
    <row r="89" spans="2:30" x14ac:dyDescent="0.35">
      <c r="B89" s="15" t="s">
        <v>84</v>
      </c>
      <c r="C89">
        <v>950787.05420560751</v>
      </c>
      <c r="D89">
        <v>838063.53831775696</v>
      </c>
      <c r="E89">
        <f t="shared" si="20"/>
        <v>1</v>
      </c>
      <c r="F89">
        <f t="shared" si="21"/>
        <v>0</v>
      </c>
      <c r="G89">
        <f t="shared" si="22"/>
        <v>0</v>
      </c>
      <c r="H89">
        <f t="shared" si="23"/>
        <v>1</v>
      </c>
      <c r="I89" s="11"/>
      <c r="J89">
        <v>6.9141166594066591E-2</v>
      </c>
      <c r="K89">
        <v>1.4189132697862096E-2</v>
      </c>
      <c r="L89">
        <f t="shared" si="24"/>
        <v>0</v>
      </c>
      <c r="M89">
        <f t="shared" si="16"/>
        <v>0</v>
      </c>
      <c r="N89">
        <f t="shared" si="17"/>
        <v>1</v>
      </c>
      <c r="P89" s="14">
        <f t="shared" si="18"/>
        <v>0</v>
      </c>
      <c r="Q89" s="35"/>
      <c r="R89">
        <v>0.33967588138469651</v>
      </c>
      <c r="S89">
        <v>0.39218331813689827</v>
      </c>
      <c r="U89">
        <v>251056.4192161549</v>
      </c>
      <c r="V89">
        <v>115213.8398434148</v>
      </c>
      <c r="W89">
        <f t="shared" si="19"/>
        <v>1</v>
      </c>
      <c r="Y89">
        <v>221915.070503108</v>
      </c>
      <c r="Z89">
        <v>142828.13932525809</v>
      </c>
      <c r="AA89">
        <f t="shared" si="25"/>
        <v>0</v>
      </c>
      <c r="AB89">
        <f t="shared" si="26"/>
        <v>1</v>
      </c>
      <c r="AC89">
        <f>IF(AND(F89=0, (U89/Z89)*ABS(U89-Z89)&gt;1.05*(Y89/V89)*ABS(Y89-V89)),1,0)</f>
        <v>0</v>
      </c>
      <c r="AD89">
        <f t="shared" si="27"/>
        <v>0</v>
      </c>
    </row>
    <row r="90" spans="2:30" x14ac:dyDescent="0.35">
      <c r="B90" s="15" t="s">
        <v>85</v>
      </c>
      <c r="C90">
        <v>1026496.637065637</v>
      </c>
      <c r="D90">
        <v>481667.42471042468</v>
      </c>
      <c r="E90">
        <f t="shared" si="20"/>
        <v>1</v>
      </c>
      <c r="F90">
        <f t="shared" si="21"/>
        <v>0</v>
      </c>
      <c r="G90">
        <f t="shared" si="22"/>
        <v>0</v>
      </c>
      <c r="H90">
        <f t="shared" si="23"/>
        <v>1</v>
      </c>
      <c r="I90" s="11"/>
      <c r="J90">
        <v>2.6465205728553366E-2</v>
      </c>
      <c r="K90">
        <v>1.6584217694300022E-2</v>
      </c>
      <c r="L90">
        <f t="shared" si="24"/>
        <v>0</v>
      </c>
      <c r="M90">
        <f t="shared" si="16"/>
        <v>0</v>
      </c>
      <c r="N90">
        <f t="shared" si="17"/>
        <v>1</v>
      </c>
      <c r="P90" s="14">
        <f t="shared" si="18"/>
        <v>0</v>
      </c>
      <c r="Q90" s="35"/>
      <c r="R90">
        <v>0.37005508778867302</v>
      </c>
      <c r="S90">
        <v>0.33595617439274328</v>
      </c>
      <c r="U90">
        <v>311826.28491445328</v>
      </c>
      <c r="V90">
        <v>77179.970382824991</v>
      </c>
      <c r="W90">
        <f t="shared" si="19"/>
        <v>1</v>
      </c>
      <c r="Y90">
        <v>123744.69917794591</v>
      </c>
      <c r="Z90">
        <v>139192.67978366921</v>
      </c>
      <c r="AA90">
        <f t="shared" si="25"/>
        <v>1</v>
      </c>
      <c r="AB90">
        <f t="shared" si="26"/>
        <v>0</v>
      </c>
      <c r="AC90">
        <f>IF(AND(F90=0, (U90/Z90)*ABS(U90-Z90)&gt;1.05*(Y90/V90)*ABS(Y90-V90)),1,0)</f>
        <v>1</v>
      </c>
      <c r="AD90">
        <f t="shared" si="27"/>
        <v>0</v>
      </c>
    </row>
    <row r="91" spans="2:30" x14ac:dyDescent="0.35">
      <c r="B91" s="15" t="s">
        <v>86</v>
      </c>
      <c r="C91">
        <v>1807515.454741379</v>
      </c>
      <c r="D91">
        <v>4704.3502155172409</v>
      </c>
      <c r="E91">
        <f t="shared" si="20"/>
        <v>1</v>
      </c>
      <c r="F91">
        <f t="shared" si="21"/>
        <v>1</v>
      </c>
      <c r="G91">
        <f t="shared" si="22"/>
        <v>0</v>
      </c>
      <c r="H91">
        <f t="shared" si="23"/>
        <v>0</v>
      </c>
      <c r="I91" s="11"/>
      <c r="J91">
        <v>2.8487927196109118E-3</v>
      </c>
      <c r="K91">
        <v>1.1461546825501011E-2</v>
      </c>
      <c r="L91">
        <f t="shared" si="24"/>
        <v>1</v>
      </c>
      <c r="M91">
        <f t="shared" si="16"/>
        <v>0</v>
      </c>
      <c r="N91">
        <f t="shared" si="17"/>
        <v>0</v>
      </c>
      <c r="P91" s="14">
        <f t="shared" si="18"/>
        <v>1</v>
      </c>
      <c r="Q91" s="35"/>
      <c r="R91">
        <v>2.510520139754187E-5</v>
      </c>
      <c r="S91">
        <v>1.5888843516181771E-2</v>
      </c>
      <c r="U91">
        <v>727729.11238197633</v>
      </c>
      <c r="V91">
        <v>941.89922850615756</v>
      </c>
      <c r="W91">
        <f t="shared" si="19"/>
        <v>1</v>
      </c>
      <c r="Y91">
        <v>177</v>
      </c>
      <c r="Z91">
        <v>14709.01421245828</v>
      </c>
      <c r="AA91">
        <f t="shared" si="25"/>
        <v>1</v>
      </c>
      <c r="AB91">
        <f t="shared" si="26"/>
        <v>0</v>
      </c>
      <c r="AC91">
        <f>IF(AND(F91=0, (U91/Z91)*ABS(U91-Z91)&gt;1.05*(Y91/V91)*ABS(Y91-V91)),1,0)</f>
        <v>0</v>
      </c>
      <c r="AD91">
        <f t="shared" si="27"/>
        <v>1</v>
      </c>
    </row>
    <row r="92" spans="2:30" x14ac:dyDescent="0.35">
      <c r="B92" s="15" t="s">
        <v>87</v>
      </c>
      <c r="C92">
        <v>2476680.205823293</v>
      </c>
      <c r="D92">
        <v>1374839.157630522</v>
      </c>
      <c r="E92">
        <f t="shared" si="20"/>
        <v>1</v>
      </c>
      <c r="F92">
        <f t="shared" si="21"/>
        <v>0</v>
      </c>
      <c r="G92">
        <f t="shared" si="22"/>
        <v>0</v>
      </c>
      <c r="H92">
        <f t="shared" si="23"/>
        <v>1</v>
      </c>
      <c r="I92" s="11"/>
      <c r="J92">
        <v>1.7558993915497551E-2</v>
      </c>
      <c r="K92">
        <v>4.7122569774022856E-2</v>
      </c>
      <c r="L92">
        <f t="shared" si="24"/>
        <v>1</v>
      </c>
      <c r="M92">
        <f t="shared" si="16"/>
        <v>1</v>
      </c>
      <c r="N92">
        <f t="shared" si="17"/>
        <v>0</v>
      </c>
      <c r="P92" s="14">
        <f t="shared" si="18"/>
        <v>1</v>
      </c>
      <c r="Q92" s="35"/>
      <c r="R92">
        <v>0.3646788548911794</v>
      </c>
      <c r="S92">
        <v>6.9149701851619852E-2</v>
      </c>
      <c r="U92">
        <v>760219.19012667937</v>
      </c>
      <c r="V92">
        <v>173178.44244480249</v>
      </c>
      <c r="W92">
        <f t="shared" si="19"/>
        <v>1</v>
      </c>
      <c r="Y92">
        <v>327585.76971700293</v>
      </c>
      <c r="Z92">
        <v>483585.10419385327</v>
      </c>
      <c r="AA92">
        <f t="shared" si="25"/>
        <v>1</v>
      </c>
      <c r="AB92">
        <f t="shared" si="26"/>
        <v>0</v>
      </c>
      <c r="AC92">
        <f>IF(AND(F92=0, (U92/Z92)*ABS(U92-Z92)&gt;1.05*(Y92/V92)*ABS(Y92-V92)),1,0)</f>
        <v>1</v>
      </c>
      <c r="AD92">
        <f t="shared" si="27"/>
        <v>0</v>
      </c>
    </row>
    <row r="93" spans="2:30" x14ac:dyDescent="0.35">
      <c r="B93" s="15" t="s">
        <v>88</v>
      </c>
      <c r="C93">
        <v>916001.19876416062</v>
      </c>
      <c r="D93">
        <v>97710.898043254376</v>
      </c>
      <c r="E93">
        <f t="shared" si="20"/>
        <v>1</v>
      </c>
      <c r="F93">
        <f t="shared" si="21"/>
        <v>1</v>
      </c>
      <c r="G93">
        <f t="shared" si="22"/>
        <v>0</v>
      </c>
      <c r="H93">
        <f t="shared" si="23"/>
        <v>0</v>
      </c>
      <c r="I93" s="11"/>
      <c r="J93">
        <v>3.2404992581455218E-2</v>
      </c>
      <c r="K93">
        <v>1.853903802759286E-3</v>
      </c>
      <c r="L93">
        <f t="shared" si="24"/>
        <v>0</v>
      </c>
      <c r="M93">
        <f t="shared" si="16"/>
        <v>0</v>
      </c>
      <c r="N93">
        <f t="shared" si="17"/>
        <v>0</v>
      </c>
      <c r="P93" s="14">
        <f t="shared" si="18"/>
        <v>1</v>
      </c>
      <c r="Q93" s="35"/>
      <c r="R93">
        <v>0.20754297483912851</v>
      </c>
      <c r="S93">
        <v>3.5268220701563463E-2</v>
      </c>
      <c r="U93">
        <v>301316.86675135739</v>
      </c>
      <c r="V93">
        <v>18211.35728255787</v>
      </c>
      <c r="W93">
        <f t="shared" si="19"/>
        <v>1</v>
      </c>
      <c r="Y93">
        <v>24113.4352686659</v>
      </c>
      <c r="Z93">
        <v>142323.75255073121</v>
      </c>
      <c r="AA93">
        <f t="shared" si="25"/>
        <v>1</v>
      </c>
      <c r="AB93">
        <f t="shared" si="26"/>
        <v>0</v>
      </c>
      <c r="AC93">
        <f>IF(AND(F93=0, (U93/Z93)*ABS(U93-Z93)&gt;1.05*(Y93/V93)*ABS(Y93-V93)),1,0)</f>
        <v>0</v>
      </c>
      <c r="AD93">
        <f t="shared" si="27"/>
        <v>1</v>
      </c>
    </row>
    <row r="94" spans="2:30" x14ac:dyDescent="0.35">
      <c r="B94" s="15" t="s">
        <v>89</v>
      </c>
      <c r="C94">
        <v>1613710.1322033899</v>
      </c>
      <c r="D94">
        <v>6266.5576271186437</v>
      </c>
      <c r="E94">
        <f t="shared" si="20"/>
        <v>1</v>
      </c>
      <c r="F94">
        <f t="shared" si="21"/>
        <v>1</v>
      </c>
      <c r="G94">
        <f t="shared" si="22"/>
        <v>0</v>
      </c>
      <c r="H94">
        <f t="shared" si="23"/>
        <v>0</v>
      </c>
      <c r="I94" s="11"/>
      <c r="J94">
        <v>3.968492875773507E-2</v>
      </c>
      <c r="K94">
        <v>2.1053084114459872E-2</v>
      </c>
      <c r="L94">
        <f t="shared" si="24"/>
        <v>0</v>
      </c>
      <c r="M94">
        <f t="shared" si="16"/>
        <v>0</v>
      </c>
      <c r="N94">
        <f t="shared" si="17"/>
        <v>0</v>
      </c>
      <c r="P94" s="14">
        <f t="shared" si="18"/>
        <v>1</v>
      </c>
      <c r="Q94" s="35"/>
      <c r="R94">
        <v>0.42221179889870042</v>
      </c>
      <c r="S94">
        <v>0.10122228582747771</v>
      </c>
      <c r="U94">
        <v>591505.72871355712</v>
      </c>
      <c r="V94">
        <v>1061.3110458605361</v>
      </c>
      <c r="W94">
        <f t="shared" si="19"/>
        <v>1</v>
      </c>
      <c r="Y94">
        <v>352.38892773892769</v>
      </c>
      <c r="Z94">
        <v>46135.140160493931</v>
      </c>
      <c r="AA94">
        <f t="shared" si="25"/>
        <v>1</v>
      </c>
      <c r="AB94">
        <f t="shared" si="26"/>
        <v>0</v>
      </c>
      <c r="AC94">
        <f>IF(AND(F94=0, (U94/Z94)*ABS(U94-Z94)&gt;1.05*(Y94/V94)*ABS(Y94-V94)),1,0)</f>
        <v>0</v>
      </c>
      <c r="AD94">
        <f t="shared" si="27"/>
        <v>1</v>
      </c>
    </row>
    <row r="95" spans="2:30" x14ac:dyDescent="0.35">
      <c r="B95" s="15" t="s">
        <v>90</v>
      </c>
      <c r="C95">
        <v>781686.25048543687</v>
      </c>
      <c r="D95">
        <v>423740.3242718447</v>
      </c>
      <c r="E95">
        <f t="shared" si="20"/>
        <v>1</v>
      </c>
      <c r="F95">
        <f t="shared" si="21"/>
        <v>0</v>
      </c>
      <c r="G95">
        <f t="shared" si="22"/>
        <v>0</v>
      </c>
      <c r="H95">
        <f t="shared" si="23"/>
        <v>1</v>
      </c>
      <c r="I95" s="11"/>
      <c r="J95">
        <v>2.2126941751130245E-2</v>
      </c>
      <c r="K95">
        <v>3.3094570688516907E-2</v>
      </c>
      <c r="L95">
        <f t="shared" si="24"/>
        <v>1</v>
      </c>
      <c r="M95">
        <f t="shared" si="16"/>
        <v>1</v>
      </c>
      <c r="N95">
        <f t="shared" si="17"/>
        <v>0</v>
      </c>
      <c r="P95" s="14">
        <f t="shared" si="18"/>
        <v>1</v>
      </c>
      <c r="Q95" s="35"/>
      <c r="R95">
        <v>0.75686789690879841</v>
      </c>
      <c r="S95">
        <v>0.53259248993917963</v>
      </c>
      <c r="U95">
        <v>187723.06981246799</v>
      </c>
      <c r="V95">
        <v>45623.656237199182</v>
      </c>
      <c r="W95">
        <f t="shared" si="19"/>
        <v>1</v>
      </c>
      <c r="Y95">
        <v>76824.593773392</v>
      </c>
      <c r="Z95">
        <v>83759.778453510808</v>
      </c>
      <c r="AA95">
        <f t="shared" si="25"/>
        <v>1</v>
      </c>
      <c r="AB95">
        <f t="shared" si="26"/>
        <v>0</v>
      </c>
      <c r="AC95">
        <f>IF(AND(F95=0, (U95/Z95)*ABS(U95-Z95)&gt;1.05*(Y95/V95)*ABS(Y95-V95)),1,0)</f>
        <v>1</v>
      </c>
      <c r="AD95">
        <f t="shared" si="27"/>
        <v>0</v>
      </c>
    </row>
    <row r="96" spans="2:30" x14ac:dyDescent="0.35">
      <c r="B96" s="15" t="s">
        <v>91</v>
      </c>
      <c r="C96">
        <v>1562399.140676118</v>
      </c>
      <c r="D96">
        <v>5336.4612868047989</v>
      </c>
      <c r="E96">
        <f t="shared" si="20"/>
        <v>1</v>
      </c>
      <c r="F96">
        <f t="shared" si="21"/>
        <v>1</v>
      </c>
      <c r="G96">
        <f t="shared" si="22"/>
        <v>0</v>
      </c>
      <c r="H96">
        <f t="shared" si="23"/>
        <v>0</v>
      </c>
      <c r="I96" s="11"/>
      <c r="J96">
        <v>1.3997034464655186E-2</v>
      </c>
      <c r="K96">
        <v>4.0419351847294088E-2</v>
      </c>
      <c r="L96">
        <f t="shared" si="24"/>
        <v>1</v>
      </c>
      <c r="M96">
        <f t="shared" si="16"/>
        <v>0</v>
      </c>
      <c r="N96">
        <f t="shared" si="17"/>
        <v>0</v>
      </c>
      <c r="P96" s="14">
        <f t="shared" si="18"/>
        <v>1</v>
      </c>
      <c r="Q96" s="35"/>
      <c r="R96">
        <v>0.82484964378692194</v>
      </c>
      <c r="S96">
        <v>0.89174003033931803</v>
      </c>
      <c r="U96">
        <v>174624.36952525261</v>
      </c>
      <c r="V96">
        <v>472.02474955908292</v>
      </c>
      <c r="W96">
        <f t="shared" si="19"/>
        <v>1</v>
      </c>
      <c r="Y96">
        <v>40.200000000000003</v>
      </c>
      <c r="Z96">
        <v>10371.931677400609</v>
      </c>
      <c r="AA96">
        <f t="shared" si="25"/>
        <v>1</v>
      </c>
      <c r="AB96">
        <f t="shared" si="26"/>
        <v>0</v>
      </c>
      <c r="AC96">
        <f>IF(AND(F96=0, (U96/Z96)*ABS(U96-Z96)&gt;1.05*(Y96/V96)*ABS(Y96-V96)),1,0)</f>
        <v>0</v>
      </c>
      <c r="AD96">
        <f t="shared" si="27"/>
        <v>1</v>
      </c>
    </row>
    <row r="97" spans="2:30" x14ac:dyDescent="0.35">
      <c r="B97" s="15" t="s">
        <v>92</v>
      </c>
      <c r="C97">
        <v>1303134.2277227719</v>
      </c>
      <c r="D97">
        <v>636647.59603960393</v>
      </c>
      <c r="E97">
        <f t="shared" si="20"/>
        <v>1</v>
      </c>
      <c r="F97">
        <f t="shared" si="21"/>
        <v>0</v>
      </c>
      <c r="G97">
        <f t="shared" si="22"/>
        <v>0</v>
      </c>
      <c r="H97">
        <f t="shared" si="23"/>
        <v>1</v>
      </c>
      <c r="I97" s="11"/>
      <c r="J97">
        <v>2.5426774144559649E-3</v>
      </c>
      <c r="K97">
        <v>9.4175307560603605E-2</v>
      </c>
      <c r="L97">
        <f t="shared" si="24"/>
        <v>1</v>
      </c>
      <c r="M97">
        <f t="shared" si="16"/>
        <v>1</v>
      </c>
      <c r="N97">
        <f t="shared" si="17"/>
        <v>0</v>
      </c>
      <c r="P97" s="14">
        <f t="shared" si="18"/>
        <v>1</v>
      </c>
      <c r="Q97" s="35"/>
      <c r="R97">
        <v>1.08160149995776E-2</v>
      </c>
      <c r="S97">
        <v>8.2785262605433729E-2</v>
      </c>
      <c r="U97">
        <v>505386.98555053759</v>
      </c>
      <c r="V97">
        <v>129676.9483780969</v>
      </c>
      <c r="W97">
        <f t="shared" si="19"/>
        <v>1</v>
      </c>
      <c r="Y97">
        <v>270864.96660574328</v>
      </c>
      <c r="Z97">
        <v>231185.816753302</v>
      </c>
      <c r="AA97">
        <f t="shared" si="25"/>
        <v>0</v>
      </c>
      <c r="AB97">
        <f t="shared" si="26"/>
        <v>0</v>
      </c>
      <c r="AC97">
        <f>IF(AND(F97=0, (U97/Z97)*ABS(U97-Z97)&gt;1.05*(Y97/V97)*ABS(Y97-V97)),1,0)</f>
        <v>1</v>
      </c>
      <c r="AD97">
        <f t="shared" si="27"/>
        <v>0</v>
      </c>
    </row>
    <row r="98" spans="2:30" x14ac:dyDescent="0.35">
      <c r="B98" s="15" t="s">
        <v>93</v>
      </c>
      <c r="C98">
        <v>947093.6843853821</v>
      </c>
      <c r="D98">
        <v>7829.3870431893683</v>
      </c>
      <c r="E98">
        <f t="shared" si="20"/>
        <v>1</v>
      </c>
      <c r="F98">
        <f t="shared" si="21"/>
        <v>1</v>
      </c>
      <c r="G98">
        <f t="shared" si="22"/>
        <v>0</v>
      </c>
      <c r="H98">
        <f t="shared" si="23"/>
        <v>0</v>
      </c>
      <c r="I98" s="11"/>
      <c r="J98">
        <v>2.873883880451223E-2</v>
      </c>
      <c r="K98">
        <v>4.7913608273732221E-2</v>
      </c>
      <c r="L98">
        <f t="shared" si="24"/>
        <v>1</v>
      </c>
      <c r="M98">
        <f t="shared" si="16"/>
        <v>0</v>
      </c>
      <c r="N98">
        <f t="shared" si="17"/>
        <v>0</v>
      </c>
      <c r="P98" s="14">
        <f t="shared" si="18"/>
        <v>1</v>
      </c>
      <c r="Q98" s="35"/>
      <c r="R98">
        <v>0.53030393269050935</v>
      </c>
      <c r="S98">
        <v>0.92840485569719977</v>
      </c>
      <c r="U98">
        <v>198389.9164830556</v>
      </c>
      <c r="V98">
        <v>1127.148254062354</v>
      </c>
      <c r="W98">
        <f t="shared" si="19"/>
        <v>1</v>
      </c>
      <c r="Y98">
        <v>372.35864135864142</v>
      </c>
      <c r="Z98">
        <v>27976.141667340391</v>
      </c>
      <c r="AA98">
        <f t="shared" si="25"/>
        <v>1</v>
      </c>
      <c r="AB98">
        <f t="shared" si="26"/>
        <v>0</v>
      </c>
      <c r="AC98">
        <f>IF(AND(F98=0, (U98/Z98)*ABS(U98-Z98)&gt;1.05*(Y98/V98)*ABS(Y98-V98)),1,0)</f>
        <v>0</v>
      </c>
      <c r="AD98">
        <f t="shared" si="27"/>
        <v>1</v>
      </c>
    </row>
    <row r="99" spans="2:30" x14ac:dyDescent="0.35">
      <c r="B99" s="15" t="s">
        <v>94</v>
      </c>
      <c r="C99">
        <v>1187540.879616963</v>
      </c>
      <c r="D99">
        <v>1105542.170998632</v>
      </c>
      <c r="E99">
        <f t="shared" si="20"/>
        <v>1</v>
      </c>
      <c r="F99">
        <f t="shared" si="21"/>
        <v>0</v>
      </c>
      <c r="G99">
        <f t="shared" si="22"/>
        <v>0</v>
      </c>
      <c r="H99">
        <f t="shared" si="23"/>
        <v>1</v>
      </c>
      <c r="I99" s="11"/>
      <c r="J99">
        <v>1.1031655324085629E-2</v>
      </c>
      <c r="K99">
        <v>6.1643907525396363E-2</v>
      </c>
      <c r="L99">
        <f t="shared" si="24"/>
        <v>1</v>
      </c>
      <c r="M99">
        <f t="shared" si="16"/>
        <v>1</v>
      </c>
      <c r="N99">
        <f t="shared" si="17"/>
        <v>0</v>
      </c>
      <c r="P99" s="14">
        <f t="shared" si="18"/>
        <v>1</v>
      </c>
      <c r="Q99" s="35"/>
      <c r="R99">
        <v>4.373454323502151E-2</v>
      </c>
      <c r="S99">
        <v>2.4078980976212121E-2</v>
      </c>
      <c r="U99">
        <v>405776.25061851932</v>
      </c>
      <c r="V99">
        <v>213057.22749232009</v>
      </c>
      <c r="W99">
        <f t="shared" si="19"/>
        <v>1</v>
      </c>
      <c r="Y99">
        <v>443508.16305761319</v>
      </c>
      <c r="Z99">
        <v>171027.08244760401</v>
      </c>
      <c r="AA99">
        <f t="shared" si="25"/>
        <v>0</v>
      </c>
      <c r="AB99">
        <f t="shared" si="26"/>
        <v>0</v>
      </c>
      <c r="AC99">
        <f>IF(AND(F99=0, (U99/Z99)*ABS(U99-Z99)&gt;1.05*(Y99/V99)*ABS(Y99-V99)),1,0)</f>
        <v>1</v>
      </c>
      <c r="AD99">
        <f t="shared" si="27"/>
        <v>0</v>
      </c>
    </row>
    <row r="100" spans="2:30" x14ac:dyDescent="0.35">
      <c r="B100" s="15" t="s">
        <v>95</v>
      </c>
      <c r="C100">
        <v>967167.80377358489</v>
      </c>
      <c r="D100">
        <v>1012347.594339623</v>
      </c>
      <c r="E100">
        <f t="shared" si="20"/>
        <v>0</v>
      </c>
      <c r="F100">
        <f t="shared" si="21"/>
        <v>0</v>
      </c>
      <c r="G100">
        <f t="shared" si="22"/>
        <v>0</v>
      </c>
      <c r="H100">
        <f t="shared" si="23"/>
        <v>1</v>
      </c>
      <c r="I100" s="11"/>
      <c r="J100">
        <v>4.0870668700555765E-3</v>
      </c>
      <c r="K100">
        <v>5.7623217550270354E-2</v>
      </c>
      <c r="L100">
        <f t="shared" si="24"/>
        <v>1</v>
      </c>
      <c r="M100">
        <f t="shared" si="16"/>
        <v>1</v>
      </c>
      <c r="N100">
        <f t="shared" si="17"/>
        <v>0</v>
      </c>
      <c r="P100" s="14">
        <f t="shared" si="18"/>
        <v>1</v>
      </c>
      <c r="Q100" s="35"/>
      <c r="R100">
        <v>1.952394031033193E-2</v>
      </c>
      <c r="S100">
        <v>9.5538928156832113E-4</v>
      </c>
      <c r="U100">
        <v>422582.04966242088</v>
      </c>
      <c r="V100">
        <v>187341.59195346321</v>
      </c>
      <c r="W100">
        <f t="shared" si="19"/>
        <v>1</v>
      </c>
      <c r="Y100">
        <v>425404.57508347771</v>
      </c>
      <c r="Z100">
        <v>188353.71629807909</v>
      </c>
      <c r="AA100">
        <f t="shared" si="25"/>
        <v>0</v>
      </c>
      <c r="AB100">
        <f t="shared" si="26"/>
        <v>0</v>
      </c>
      <c r="AC100">
        <f>IF(AND(F100=0, (U100/Z100)*ABS(U100-Z100)&gt;1.05*(Y100/V100)*ABS(Y100-V100)),1,0)</f>
        <v>0</v>
      </c>
      <c r="AD100">
        <f t="shared" si="27"/>
        <v>1</v>
      </c>
    </row>
    <row r="101" spans="2:30" x14ac:dyDescent="0.35">
      <c r="B101" s="15" t="s">
        <v>96</v>
      </c>
      <c r="C101">
        <v>1753979.1146637271</v>
      </c>
      <c r="D101">
        <v>1280946.2800441009</v>
      </c>
      <c r="E101">
        <f t="shared" si="20"/>
        <v>1</v>
      </c>
      <c r="F101">
        <f t="shared" si="21"/>
        <v>0</v>
      </c>
      <c r="G101">
        <f t="shared" si="22"/>
        <v>0</v>
      </c>
      <c r="H101">
        <f t="shared" si="23"/>
        <v>1</v>
      </c>
      <c r="I101" s="11"/>
      <c r="J101">
        <v>1.4015559681274355E-3</v>
      </c>
      <c r="K101">
        <v>3.6185749986809471E-2</v>
      </c>
      <c r="L101">
        <f t="shared" si="24"/>
        <v>1</v>
      </c>
      <c r="M101">
        <f t="shared" si="16"/>
        <v>1</v>
      </c>
      <c r="N101">
        <f t="shared" si="17"/>
        <v>0</v>
      </c>
      <c r="P101" s="14">
        <f t="shared" si="18"/>
        <v>1</v>
      </c>
      <c r="Q101" s="35"/>
      <c r="R101">
        <v>0.15434443705514439</v>
      </c>
      <c r="S101">
        <v>7.8557241650898224E-2</v>
      </c>
      <c r="U101">
        <v>545939.05520554527</v>
      </c>
      <c r="V101">
        <v>210448.6495624583</v>
      </c>
      <c r="W101">
        <f t="shared" si="19"/>
        <v>1</v>
      </c>
      <c r="Y101">
        <v>487598.17532330099</v>
      </c>
      <c r="Z101">
        <v>305517.23710156238</v>
      </c>
      <c r="AA101">
        <f t="shared" si="25"/>
        <v>0</v>
      </c>
      <c r="AB101">
        <f t="shared" si="26"/>
        <v>1</v>
      </c>
      <c r="AC101">
        <f>IF(AND(F101=0, (U101/Z101)*ABS(U101-Z101)&gt;1.05*(Y101/V101)*ABS(Y101-V101)),1,0)</f>
        <v>0</v>
      </c>
      <c r="AD101">
        <f t="shared" si="27"/>
        <v>0</v>
      </c>
    </row>
    <row r="102" spans="2:30" x14ac:dyDescent="0.35">
      <c r="B102" s="15" t="s">
        <v>97</v>
      </c>
      <c r="C102">
        <v>1297163.4939493949</v>
      </c>
      <c r="D102">
        <v>113225.0165016502</v>
      </c>
      <c r="E102">
        <f t="shared" si="20"/>
        <v>1</v>
      </c>
      <c r="F102">
        <f t="shared" si="21"/>
        <v>1</v>
      </c>
      <c r="G102">
        <f t="shared" si="22"/>
        <v>0</v>
      </c>
      <c r="H102">
        <f t="shared" si="23"/>
        <v>0</v>
      </c>
      <c r="I102" s="11"/>
      <c r="J102">
        <v>3.9802434811901516E-3</v>
      </c>
      <c r="K102">
        <v>2.0261457473645128E-3</v>
      </c>
      <c r="L102">
        <f t="shared" si="24"/>
        <v>0</v>
      </c>
      <c r="M102">
        <f t="shared" si="16"/>
        <v>0</v>
      </c>
      <c r="N102">
        <f t="shared" si="17"/>
        <v>0</v>
      </c>
      <c r="P102" s="14">
        <f t="shared" si="18"/>
        <v>1</v>
      </c>
      <c r="Q102" s="35"/>
      <c r="R102">
        <v>2.7143589322727001E-2</v>
      </c>
      <c r="S102">
        <v>1.5520982044524699E-3</v>
      </c>
      <c r="U102">
        <v>388342.41903866082</v>
      </c>
      <c r="V102">
        <v>18004.835435194949</v>
      </c>
      <c r="W102">
        <f t="shared" si="19"/>
        <v>1</v>
      </c>
      <c r="Y102">
        <v>19331.357058581609</v>
      </c>
      <c r="Z102">
        <v>198044.26436439471</v>
      </c>
      <c r="AA102">
        <f t="shared" si="25"/>
        <v>1</v>
      </c>
      <c r="AB102">
        <f t="shared" si="26"/>
        <v>0</v>
      </c>
      <c r="AC102">
        <f>IF(AND(F102=0, (U102/Z102)*ABS(U102-Z102)&gt;1.05*(Y102/V102)*ABS(Y102-V102)),1,0)</f>
        <v>0</v>
      </c>
      <c r="AD102">
        <f t="shared" si="27"/>
        <v>1</v>
      </c>
    </row>
    <row r="103" spans="2:30" x14ac:dyDescent="0.35">
      <c r="B103" s="15" t="s">
        <v>98</v>
      </c>
      <c r="C103">
        <v>934762.87766990298</v>
      </c>
      <c r="D103">
        <v>802386.4</v>
      </c>
      <c r="E103">
        <f t="shared" si="20"/>
        <v>1</v>
      </c>
      <c r="F103">
        <f t="shared" si="21"/>
        <v>0</v>
      </c>
      <c r="G103">
        <f t="shared" si="22"/>
        <v>0</v>
      </c>
      <c r="H103">
        <f t="shared" si="23"/>
        <v>1</v>
      </c>
      <c r="I103" s="11"/>
      <c r="J103">
        <v>3.2807506507029391E-2</v>
      </c>
      <c r="K103">
        <v>2.6420488644849825E-2</v>
      </c>
      <c r="L103">
        <f t="shared" si="24"/>
        <v>0</v>
      </c>
      <c r="M103">
        <f t="shared" si="16"/>
        <v>0</v>
      </c>
      <c r="N103">
        <f t="shared" si="17"/>
        <v>1</v>
      </c>
      <c r="P103" s="14">
        <f t="shared" si="18"/>
        <v>0</v>
      </c>
      <c r="Q103" s="35"/>
      <c r="R103">
        <v>0.1177874529935993</v>
      </c>
      <c r="S103">
        <v>0.23477118766937169</v>
      </c>
      <c r="U103">
        <v>308361.60409764119</v>
      </c>
      <c r="V103">
        <v>128693.14909712991</v>
      </c>
      <c r="W103">
        <f t="shared" ref="W103:W106" si="28">IF(V103&lt;U103,1,0)</f>
        <v>1</v>
      </c>
      <c r="Y103">
        <v>274132.51025714283</v>
      </c>
      <c r="Z103">
        <v>150598.6716015873</v>
      </c>
      <c r="AA103">
        <f t="shared" si="25"/>
        <v>0</v>
      </c>
      <c r="AB103">
        <f t="shared" si="26"/>
        <v>0</v>
      </c>
      <c r="AC103">
        <f>IF(AND(F103=0, (U103/Z103)*ABS(U103-Z103)&gt;1.05*(Y103/V103)*ABS(Y103-V103)),1,0)</f>
        <v>0</v>
      </c>
      <c r="AD103">
        <f t="shared" si="27"/>
        <v>1</v>
      </c>
    </row>
    <row r="104" spans="2:30" x14ac:dyDescent="0.35">
      <c r="B104" s="15" t="s">
        <v>99</v>
      </c>
      <c r="C104">
        <v>911862.5921717172</v>
      </c>
      <c r="D104">
        <v>300119.56565656571</v>
      </c>
      <c r="E104">
        <f t="shared" si="20"/>
        <v>1</v>
      </c>
      <c r="F104">
        <f t="shared" si="21"/>
        <v>1</v>
      </c>
      <c r="G104">
        <f t="shared" si="22"/>
        <v>0</v>
      </c>
      <c r="H104">
        <f t="shared" si="23"/>
        <v>0</v>
      </c>
      <c r="I104" s="11"/>
      <c r="J104">
        <v>1.5091833967753692E-2</v>
      </c>
      <c r="K104">
        <v>2.3124569407937817E-2</v>
      </c>
      <c r="L104">
        <f t="shared" si="24"/>
        <v>1</v>
      </c>
      <c r="M104">
        <f t="shared" si="16"/>
        <v>0</v>
      </c>
      <c r="N104">
        <f t="shared" si="17"/>
        <v>0</v>
      </c>
      <c r="P104" s="14">
        <f t="shared" si="18"/>
        <v>1</v>
      </c>
      <c r="Q104" s="35"/>
      <c r="R104">
        <v>0.45521775695596811</v>
      </c>
      <c r="S104">
        <v>0.67893584751832137</v>
      </c>
      <c r="U104">
        <v>192055.50372898631</v>
      </c>
      <c r="V104">
        <v>36456.574288669442</v>
      </c>
      <c r="W104">
        <f t="shared" si="28"/>
        <v>1</v>
      </c>
      <c r="Y104">
        <v>66909.991639287022</v>
      </c>
      <c r="Z104">
        <v>122003.4309799926</v>
      </c>
      <c r="AA104">
        <f t="shared" si="25"/>
        <v>1</v>
      </c>
      <c r="AB104">
        <f t="shared" si="26"/>
        <v>0</v>
      </c>
      <c r="AC104">
        <f>IF(AND(F104=0, (U104/Z104)*ABS(U104-Z104)&gt;1.05*(Y104/V104)*ABS(Y104-V104)),1,0)</f>
        <v>0</v>
      </c>
      <c r="AD104">
        <f t="shared" si="27"/>
        <v>1</v>
      </c>
    </row>
    <row r="105" spans="2:30" x14ac:dyDescent="0.35">
      <c r="B105" s="15" t="s">
        <v>100</v>
      </c>
      <c r="C105">
        <v>311191.27744270198</v>
      </c>
      <c r="D105">
        <v>1696301.388419783</v>
      </c>
      <c r="E105">
        <f t="shared" si="20"/>
        <v>0</v>
      </c>
      <c r="F105">
        <f t="shared" si="21"/>
        <v>0</v>
      </c>
      <c r="G105">
        <f t="shared" si="22"/>
        <v>1</v>
      </c>
      <c r="H105">
        <f t="shared" si="23"/>
        <v>0</v>
      </c>
      <c r="I105" s="11"/>
      <c r="J105">
        <v>1.4324301348199326E-2</v>
      </c>
      <c r="K105">
        <v>2.17174344858608E-2</v>
      </c>
      <c r="L105">
        <f t="shared" si="24"/>
        <v>1</v>
      </c>
      <c r="M105">
        <f t="shared" si="16"/>
        <v>0</v>
      </c>
      <c r="N105">
        <f t="shared" si="17"/>
        <v>0</v>
      </c>
      <c r="P105" s="14">
        <f t="shared" si="18"/>
        <v>0</v>
      </c>
      <c r="Q105" s="35"/>
      <c r="R105">
        <v>0.84646371516428476</v>
      </c>
      <c r="S105">
        <v>0.39471438349284288</v>
      </c>
      <c r="U105">
        <v>53901.351845202051</v>
      </c>
      <c r="V105">
        <v>153791.99029975559</v>
      </c>
      <c r="W105">
        <f t="shared" si="28"/>
        <v>0</v>
      </c>
      <c r="Y105">
        <v>249071.93709618229</v>
      </c>
      <c r="Z105">
        <v>32556.241918212101</v>
      </c>
      <c r="AA105">
        <f t="shared" si="25"/>
        <v>0</v>
      </c>
      <c r="AB105">
        <f t="shared" si="26"/>
        <v>1</v>
      </c>
      <c r="AC105">
        <f>IF(AND(F105=0, (U105/Z105)*ABS(U105-Z105)&gt;1.05*(Y105/V105)*ABS(Y105-V105)),1,0)</f>
        <v>0</v>
      </c>
      <c r="AD105">
        <f t="shared" si="27"/>
        <v>0</v>
      </c>
    </row>
    <row r="106" spans="2:30" ht="15" thickBot="1" x14ac:dyDescent="0.4">
      <c r="B106" s="16" t="s">
        <v>101</v>
      </c>
      <c r="C106" s="17">
        <v>1777671.861111111</v>
      </c>
      <c r="D106" s="17">
        <v>1287916.985449736</v>
      </c>
      <c r="E106" s="17">
        <f t="shared" si="20"/>
        <v>1</v>
      </c>
      <c r="F106" s="17">
        <f t="shared" si="21"/>
        <v>0</v>
      </c>
      <c r="G106" s="17">
        <f t="shared" si="22"/>
        <v>0</v>
      </c>
      <c r="H106" s="17">
        <f t="shared" si="23"/>
        <v>1</v>
      </c>
      <c r="I106" s="18"/>
      <c r="J106" s="17">
        <v>3.4256520799521566E-2</v>
      </c>
      <c r="K106" s="17">
        <v>4.3139284839455949E-2</v>
      </c>
      <c r="L106" s="17">
        <f t="shared" si="24"/>
        <v>1</v>
      </c>
      <c r="M106" s="17">
        <f t="shared" si="16"/>
        <v>1</v>
      </c>
      <c r="N106" s="17">
        <f t="shared" si="17"/>
        <v>0</v>
      </c>
      <c r="O106" s="17"/>
      <c r="P106" s="19">
        <f t="shared" si="18"/>
        <v>1</v>
      </c>
      <c r="Q106" s="35"/>
      <c r="R106">
        <v>0.19930675716384469</v>
      </c>
      <c r="S106">
        <v>2.396266608847589E-2</v>
      </c>
      <c r="U106">
        <v>580000.9179221571</v>
      </c>
      <c r="V106">
        <v>243516.66641470109</v>
      </c>
      <c r="W106">
        <f t="shared" si="28"/>
        <v>1</v>
      </c>
      <c r="Y106">
        <v>554983.68457059748</v>
      </c>
      <c r="Z106">
        <v>331859.80342020252</v>
      </c>
      <c r="AA106">
        <f t="shared" si="25"/>
        <v>0</v>
      </c>
      <c r="AB106">
        <f t="shared" si="26"/>
        <v>1</v>
      </c>
      <c r="AC106">
        <f>IF(AND(F106=0, (U106/Z106)*ABS(U106-Z106)&gt;1.05*(Y106/V106)*ABS(Y106-V106)),1,0)</f>
        <v>0</v>
      </c>
      <c r="AD106">
        <f t="shared" si="27"/>
        <v>0</v>
      </c>
    </row>
    <row r="107" spans="2:30" ht="15" thickTop="1" x14ac:dyDescent="0.35"/>
  </sheetData>
  <mergeCells count="7">
    <mergeCell ref="U5:V5"/>
    <mergeCell ref="Y5:Z5"/>
    <mergeCell ref="B2:P2"/>
    <mergeCell ref="B3:I3"/>
    <mergeCell ref="J3:P3"/>
    <mergeCell ref="B4:I4"/>
    <mergeCell ref="J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2025-05-08T16:41:53Z</dcterms:created>
  <dcterms:modified xsi:type="dcterms:W3CDTF">2025-05-14T16:16:05Z</dcterms:modified>
</cp:coreProperties>
</file>