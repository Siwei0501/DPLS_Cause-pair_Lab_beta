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62" documentId="11_23F921ED157BCE152D2C4C744D38F74545D27198" xr6:coauthVersionLast="47" xr6:coauthVersionMax="47" xr10:uidLastSave="{A7B2D659-AB15-47BC-8308-78F7EE5FFDFB}"/>
  <bookViews>
    <workbookView xWindow="-90" yWindow="0" windowWidth="2662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P83" i="1"/>
  <c r="W83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I17" i="1" s="1"/>
  <c r="H18" i="1"/>
  <c r="H19" i="1"/>
  <c r="H20" i="1"/>
  <c r="K20" i="1" s="1"/>
  <c r="P20" i="1" s="1"/>
  <c r="W20" i="1" s="1"/>
  <c r="H21" i="1"/>
  <c r="K21" i="1" s="1"/>
  <c r="P21" i="1" s="1"/>
  <c r="W21" i="1" s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I49" i="1" s="1"/>
  <c r="H50" i="1"/>
  <c r="H51" i="1"/>
  <c r="I51" i="1" s="1"/>
  <c r="H52" i="1"/>
  <c r="I52" i="1" s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K83" i="1" s="1"/>
  <c r="O83" i="1" s="1"/>
  <c r="H84" i="1"/>
  <c r="I84" i="1" s="1"/>
  <c r="H85" i="1"/>
  <c r="K85" i="1" s="1"/>
  <c r="P85" i="1" s="1"/>
  <c r="W85" i="1" s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I50" i="1" l="1"/>
  <c r="U2" i="1"/>
  <c r="O85" i="1"/>
  <c r="O21" i="1"/>
  <c r="O20" i="1"/>
  <c r="K66" i="1"/>
  <c r="K34" i="1"/>
  <c r="K97" i="1"/>
  <c r="K65" i="1"/>
  <c r="K96" i="1"/>
  <c r="K64" i="1"/>
  <c r="K32" i="1"/>
  <c r="K62" i="1"/>
  <c r="J87" i="1"/>
  <c r="I55" i="1"/>
  <c r="I23" i="1"/>
  <c r="I78" i="1"/>
  <c r="K46" i="1"/>
  <c r="K77" i="1"/>
  <c r="K45" i="1"/>
  <c r="J91" i="1"/>
  <c r="J59" i="1"/>
  <c r="J58" i="1"/>
  <c r="J56" i="1"/>
  <c r="I48" i="1"/>
  <c r="I77" i="1"/>
  <c r="J22" i="1"/>
  <c r="J49" i="1"/>
  <c r="I56" i="1"/>
  <c r="J60" i="1"/>
  <c r="J86" i="1"/>
  <c r="J52" i="1"/>
  <c r="I82" i="1"/>
  <c r="I81" i="1"/>
  <c r="K47" i="1"/>
  <c r="J24" i="1"/>
  <c r="J53" i="1"/>
  <c r="J51" i="1"/>
  <c r="J17" i="1"/>
  <c r="I79" i="1"/>
  <c r="J27" i="1"/>
  <c r="J57" i="1"/>
  <c r="J21" i="1"/>
  <c r="I83" i="1"/>
  <c r="I80" i="1"/>
  <c r="K61" i="1"/>
  <c r="J88" i="1"/>
  <c r="K54" i="1"/>
  <c r="J18" i="1"/>
  <c r="K16" i="1"/>
  <c r="K15" i="1"/>
  <c r="K14" i="1"/>
  <c r="K13" i="1"/>
  <c r="K19" i="1"/>
  <c r="K94" i="1"/>
  <c r="K93" i="1"/>
  <c r="K92" i="1"/>
  <c r="I21" i="1"/>
  <c r="K50" i="1"/>
  <c r="J50" i="1"/>
  <c r="K91" i="1"/>
  <c r="K82" i="1"/>
  <c r="I20" i="1"/>
  <c r="J55" i="1"/>
  <c r="J81" i="1"/>
  <c r="K90" i="1"/>
  <c r="K81" i="1"/>
  <c r="I24" i="1"/>
  <c r="J84" i="1"/>
  <c r="K18" i="1"/>
  <c r="J54" i="1"/>
  <c r="K89" i="1"/>
  <c r="K57" i="1"/>
  <c r="K25" i="1"/>
  <c r="K53" i="1"/>
  <c r="K51" i="1"/>
  <c r="K17" i="1"/>
  <c r="K88" i="1"/>
  <c r="K56" i="1"/>
  <c r="K24" i="1"/>
  <c r="J85" i="1"/>
  <c r="J83" i="1"/>
  <c r="I85" i="1"/>
  <c r="K52" i="1"/>
  <c r="J82" i="1"/>
  <c r="K49" i="1"/>
  <c r="K95" i="1"/>
  <c r="K87" i="1"/>
  <c r="K55" i="1"/>
  <c r="K23" i="1"/>
  <c r="I54" i="1"/>
  <c r="J20" i="1"/>
  <c r="I86" i="1"/>
  <c r="K22" i="1"/>
  <c r="I53" i="1"/>
  <c r="J19" i="1"/>
  <c r="I22" i="1"/>
  <c r="K60" i="1"/>
  <c r="K59" i="1"/>
  <c r="J23" i="1"/>
  <c r="I19" i="1"/>
  <c r="K58" i="1"/>
  <c r="I18" i="1"/>
  <c r="K98" i="1"/>
  <c r="J10" i="1"/>
  <c r="J13" i="1"/>
  <c r="K71" i="1"/>
  <c r="K102" i="1"/>
  <c r="K70" i="1"/>
  <c r="K38" i="1"/>
  <c r="I6" i="1"/>
  <c r="I47" i="1"/>
  <c r="K101" i="1"/>
  <c r="K69" i="1"/>
  <c r="K37" i="1"/>
  <c r="K5" i="1"/>
  <c r="I46" i="1"/>
  <c r="K48" i="1"/>
  <c r="I42" i="1"/>
  <c r="J40" i="1"/>
  <c r="J44" i="1"/>
  <c r="I11" i="1"/>
  <c r="I73" i="1"/>
  <c r="K8" i="1"/>
  <c r="K4" i="1"/>
  <c r="J94" i="1"/>
  <c r="J62" i="1"/>
  <c r="J30" i="1"/>
  <c r="K30" i="1"/>
  <c r="I12" i="1"/>
  <c r="J41" i="1"/>
  <c r="J93" i="1"/>
  <c r="J61" i="1"/>
  <c r="J29" i="1"/>
  <c r="K86" i="1"/>
  <c r="K29" i="1"/>
  <c r="J31" i="1"/>
  <c r="I92" i="1"/>
  <c r="I60" i="1"/>
  <c r="I28" i="1"/>
  <c r="K28" i="1"/>
  <c r="J16" i="1"/>
  <c r="I59" i="1"/>
  <c r="I88" i="1"/>
  <c r="I16" i="1"/>
  <c r="J48" i="1"/>
  <c r="K84" i="1"/>
  <c r="K27" i="1"/>
  <c r="I76" i="1"/>
  <c r="I43" i="1"/>
  <c r="J34" i="1"/>
  <c r="K31" i="1"/>
  <c r="I90" i="1"/>
  <c r="I58" i="1"/>
  <c r="I26" i="1"/>
  <c r="I87" i="1"/>
  <c r="I15" i="1"/>
  <c r="J47" i="1"/>
  <c r="K26" i="1"/>
  <c r="J9" i="1"/>
  <c r="I72" i="1"/>
  <c r="K100" i="1"/>
  <c r="I89" i="1"/>
  <c r="I57" i="1"/>
  <c r="I25" i="1"/>
  <c r="I14" i="1"/>
  <c r="J46" i="1"/>
  <c r="J97" i="1"/>
  <c r="J75" i="1"/>
  <c r="J92" i="1"/>
  <c r="J28" i="1"/>
  <c r="K80" i="1"/>
  <c r="J96" i="1"/>
  <c r="K79" i="1"/>
  <c r="J80" i="1"/>
  <c r="J14" i="1"/>
  <c r="K68" i="1"/>
  <c r="I45" i="1"/>
  <c r="K67" i="1"/>
  <c r="J63" i="1"/>
  <c r="I13" i="1"/>
  <c r="J90" i="1"/>
  <c r="J26" i="1"/>
  <c r="K78" i="1"/>
  <c r="J15" i="1"/>
  <c r="K7" i="1"/>
  <c r="K99" i="1"/>
  <c r="J89" i="1"/>
  <c r="J25" i="1"/>
  <c r="I3" i="1"/>
  <c r="J11" i="1"/>
  <c r="J33" i="1"/>
  <c r="K33" i="1"/>
  <c r="J32" i="1"/>
  <c r="I91" i="1"/>
  <c r="I74" i="1"/>
  <c r="J79" i="1"/>
  <c r="J77" i="1"/>
  <c r="I39" i="1"/>
  <c r="I36" i="1"/>
  <c r="J66" i="1"/>
  <c r="J65" i="1"/>
  <c r="J45" i="1"/>
  <c r="J78" i="1"/>
  <c r="K35" i="1"/>
  <c r="J98" i="1"/>
  <c r="J64" i="1"/>
  <c r="J95" i="1"/>
  <c r="I27" i="1"/>
  <c r="K63" i="1"/>
  <c r="I44" i="1"/>
  <c r="J12" i="1"/>
  <c r="I9" i="1"/>
  <c r="I71" i="1"/>
  <c r="I99" i="1"/>
  <c r="I67" i="1"/>
  <c r="I35" i="1"/>
  <c r="J3" i="1"/>
  <c r="J71" i="1"/>
  <c r="J39" i="1"/>
  <c r="J7" i="1"/>
  <c r="I70" i="1"/>
  <c r="I69" i="1"/>
  <c r="I98" i="1"/>
  <c r="I66" i="1"/>
  <c r="I34" i="1"/>
  <c r="J102" i="1"/>
  <c r="J70" i="1"/>
  <c r="J38" i="1"/>
  <c r="J6" i="1"/>
  <c r="K76" i="1"/>
  <c r="K44" i="1"/>
  <c r="K12" i="1"/>
  <c r="J43" i="1"/>
  <c r="I37" i="1"/>
  <c r="J8" i="1"/>
  <c r="I97" i="1"/>
  <c r="I65" i="1"/>
  <c r="I33" i="1"/>
  <c r="J101" i="1"/>
  <c r="J69" i="1"/>
  <c r="J37" i="1"/>
  <c r="J5" i="1"/>
  <c r="K75" i="1"/>
  <c r="K43" i="1"/>
  <c r="K11" i="1"/>
  <c r="J76" i="1"/>
  <c r="J74" i="1"/>
  <c r="I5" i="1"/>
  <c r="J72" i="1"/>
  <c r="I96" i="1"/>
  <c r="I64" i="1"/>
  <c r="I32" i="1"/>
  <c r="J100" i="1"/>
  <c r="J68" i="1"/>
  <c r="J36" i="1"/>
  <c r="J4" i="1"/>
  <c r="K74" i="1"/>
  <c r="K42" i="1"/>
  <c r="K10" i="1"/>
  <c r="I8" i="1"/>
  <c r="I38" i="1"/>
  <c r="I101" i="1"/>
  <c r="I95" i="1"/>
  <c r="I63" i="1"/>
  <c r="I31" i="1"/>
  <c r="J99" i="1"/>
  <c r="J67" i="1"/>
  <c r="J35" i="1"/>
  <c r="K73" i="1"/>
  <c r="K41" i="1"/>
  <c r="K9" i="1"/>
  <c r="I40" i="1"/>
  <c r="I102" i="1"/>
  <c r="J73" i="1"/>
  <c r="I68" i="1"/>
  <c r="I94" i="1"/>
  <c r="I62" i="1"/>
  <c r="I30" i="1"/>
  <c r="K72" i="1"/>
  <c r="K40" i="1"/>
  <c r="I10" i="1"/>
  <c r="I41" i="1"/>
  <c r="I7" i="1"/>
  <c r="I4" i="1"/>
  <c r="I93" i="1"/>
  <c r="I61" i="1"/>
  <c r="I29" i="1"/>
  <c r="K3" i="1"/>
  <c r="K39" i="1"/>
  <c r="I75" i="1"/>
  <c r="J42" i="1"/>
  <c r="K6" i="1"/>
  <c r="I100" i="1"/>
  <c r="K36" i="1"/>
  <c r="H2" i="1"/>
  <c r="D2" i="1"/>
  <c r="P102" i="1" l="1"/>
  <c r="W102" i="1" s="1"/>
  <c r="O102" i="1"/>
  <c r="O30" i="1"/>
  <c r="P30" i="1"/>
  <c r="W30" i="1" s="1"/>
  <c r="P91" i="1"/>
  <c r="W91" i="1" s="1"/>
  <c r="O91" i="1"/>
  <c r="O64" i="1"/>
  <c r="P64" i="1"/>
  <c r="W64" i="1" s="1"/>
  <c r="P78" i="1"/>
  <c r="W78" i="1" s="1"/>
  <c r="O78" i="1"/>
  <c r="O31" i="1"/>
  <c r="P31" i="1"/>
  <c r="W31" i="1" s="1"/>
  <c r="P87" i="1"/>
  <c r="W87" i="1" s="1"/>
  <c r="O87" i="1"/>
  <c r="P93" i="1"/>
  <c r="W93" i="1" s="1"/>
  <c r="O93" i="1"/>
  <c r="P65" i="1"/>
  <c r="W65" i="1" s="1"/>
  <c r="O65" i="1"/>
  <c r="O80" i="1"/>
  <c r="P80" i="1"/>
  <c r="W80" i="1" s="1"/>
  <c r="P25" i="1"/>
  <c r="W25" i="1" s="1"/>
  <c r="O25" i="1"/>
  <c r="P98" i="1"/>
  <c r="W98" i="1" s="1"/>
  <c r="O98" i="1"/>
  <c r="O76" i="1"/>
  <c r="P76" i="1"/>
  <c r="W76" i="1" s="1"/>
  <c r="P58" i="1"/>
  <c r="W58" i="1" s="1"/>
  <c r="O58" i="1"/>
  <c r="P47" i="1"/>
  <c r="W47" i="1" s="1"/>
  <c r="O47" i="1"/>
  <c r="P33" i="1"/>
  <c r="W33" i="1" s="1"/>
  <c r="O33" i="1"/>
  <c r="P7" i="1"/>
  <c r="W7" i="1" s="1"/>
  <c r="O7" i="1"/>
  <c r="O48" i="1"/>
  <c r="P48" i="1"/>
  <c r="W48" i="1" s="1"/>
  <c r="O49" i="1"/>
  <c r="P49" i="1"/>
  <c r="W49" i="1" s="1"/>
  <c r="O19" i="1"/>
  <c r="P19" i="1"/>
  <c r="W19" i="1" s="1"/>
  <c r="P34" i="1"/>
  <c r="W34" i="1" s="1"/>
  <c r="O34" i="1"/>
  <c r="P57" i="1"/>
  <c r="W57" i="1" s="1"/>
  <c r="O57" i="1"/>
  <c r="O44" i="1"/>
  <c r="P44" i="1"/>
  <c r="W44" i="1" s="1"/>
  <c r="P6" i="1"/>
  <c r="W6" i="1" s="1"/>
  <c r="O6" i="1"/>
  <c r="Q2" i="1"/>
  <c r="P23" i="1"/>
  <c r="W23" i="1" s="1"/>
  <c r="O23" i="1"/>
  <c r="P40" i="1"/>
  <c r="W40" i="1" s="1"/>
  <c r="O40" i="1"/>
  <c r="O13" i="1"/>
  <c r="P13" i="1"/>
  <c r="W13" i="1" s="1"/>
  <c r="P66" i="1"/>
  <c r="W66" i="1" s="1"/>
  <c r="O66" i="1"/>
  <c r="O51" i="1"/>
  <c r="P51" i="1"/>
  <c r="W51" i="1" s="1"/>
  <c r="O12" i="1"/>
  <c r="P12" i="1"/>
  <c r="W12" i="1" s="1"/>
  <c r="P99" i="1"/>
  <c r="W99" i="1" s="1"/>
  <c r="O99" i="1"/>
  <c r="P52" i="1"/>
  <c r="W52" i="1" s="1"/>
  <c r="O52" i="1"/>
  <c r="P14" i="1"/>
  <c r="W14" i="1" s="1"/>
  <c r="O14" i="1"/>
  <c r="O45" i="1"/>
  <c r="P45" i="1"/>
  <c r="W45" i="1" s="1"/>
  <c r="P3" i="1"/>
  <c r="O3" i="1"/>
  <c r="P26" i="1"/>
  <c r="W26" i="1" s="1"/>
  <c r="O26" i="1"/>
  <c r="O32" i="1"/>
  <c r="P32" i="1"/>
  <c r="W32" i="1" s="1"/>
  <c r="P67" i="1"/>
  <c r="W67" i="1" s="1"/>
  <c r="O67" i="1"/>
  <c r="P15" i="1"/>
  <c r="W15" i="1" s="1"/>
  <c r="O15" i="1"/>
  <c r="O77" i="1"/>
  <c r="P77" i="1"/>
  <c r="W77" i="1" s="1"/>
  <c r="P90" i="1"/>
  <c r="W90" i="1" s="1"/>
  <c r="O90" i="1"/>
  <c r="P55" i="1"/>
  <c r="W55" i="1" s="1"/>
  <c r="O55" i="1"/>
  <c r="O63" i="1"/>
  <c r="P63" i="1"/>
  <c r="W63" i="1" s="1"/>
  <c r="O16" i="1"/>
  <c r="P16" i="1"/>
  <c r="W16" i="1" s="1"/>
  <c r="P46" i="1"/>
  <c r="W46" i="1" s="1"/>
  <c r="O46" i="1"/>
  <c r="P71" i="1"/>
  <c r="W71" i="1" s="1"/>
  <c r="O71" i="1"/>
  <c r="P22" i="1"/>
  <c r="W22" i="1" s="1"/>
  <c r="O22" i="1"/>
  <c r="O4" i="1"/>
  <c r="P4" i="1"/>
  <c r="W4" i="1" s="1"/>
  <c r="P8" i="1"/>
  <c r="W8" i="1" s="1"/>
  <c r="O8" i="1"/>
  <c r="O96" i="1"/>
  <c r="P96" i="1"/>
  <c r="W96" i="1" s="1"/>
  <c r="O95" i="1"/>
  <c r="P95" i="1"/>
  <c r="W95" i="1" s="1"/>
  <c r="P68" i="1"/>
  <c r="W68" i="1" s="1"/>
  <c r="O68" i="1"/>
  <c r="P89" i="1"/>
  <c r="W89" i="1" s="1"/>
  <c r="O89" i="1"/>
  <c r="P39" i="1"/>
  <c r="W39" i="1" s="1"/>
  <c r="O39" i="1"/>
  <c r="O50" i="1"/>
  <c r="P50" i="1"/>
  <c r="W50" i="1" s="1"/>
  <c r="P92" i="1"/>
  <c r="W92" i="1" s="1"/>
  <c r="O92" i="1"/>
  <c r="O11" i="1"/>
  <c r="P11" i="1"/>
  <c r="W11" i="1" s="1"/>
  <c r="O43" i="1"/>
  <c r="P43" i="1"/>
  <c r="W43" i="1" s="1"/>
  <c r="P5" i="1"/>
  <c r="W5" i="1" s="1"/>
  <c r="O5" i="1"/>
  <c r="O24" i="1"/>
  <c r="P24" i="1"/>
  <c r="W24" i="1" s="1"/>
  <c r="P54" i="1"/>
  <c r="W54" i="1" s="1"/>
  <c r="O54" i="1"/>
  <c r="P53" i="1"/>
  <c r="W53" i="1" s="1"/>
  <c r="O53" i="1"/>
  <c r="O42" i="1"/>
  <c r="P42" i="1"/>
  <c r="W42" i="1" s="1"/>
  <c r="O81" i="1"/>
  <c r="P81" i="1"/>
  <c r="W81" i="1" s="1"/>
  <c r="P100" i="1"/>
  <c r="W100" i="1" s="1"/>
  <c r="O100" i="1"/>
  <c r="P97" i="1"/>
  <c r="W97" i="1" s="1"/>
  <c r="O97" i="1"/>
  <c r="P37" i="1"/>
  <c r="W37" i="1" s="1"/>
  <c r="O37" i="1"/>
  <c r="P101" i="1"/>
  <c r="W101" i="1" s="1"/>
  <c r="O101" i="1"/>
  <c r="P41" i="1"/>
  <c r="W41" i="1" s="1"/>
  <c r="O41" i="1"/>
  <c r="P56" i="1"/>
  <c r="W56" i="1" s="1"/>
  <c r="O56" i="1"/>
  <c r="O10" i="1"/>
  <c r="P10" i="1"/>
  <c r="W10" i="1" s="1"/>
  <c r="O74" i="1"/>
  <c r="P74" i="1"/>
  <c r="W74" i="1" s="1"/>
  <c r="O82" i="1"/>
  <c r="P82" i="1"/>
  <c r="W82" i="1" s="1"/>
  <c r="P62" i="1"/>
  <c r="W62" i="1" s="1"/>
  <c r="O62" i="1"/>
  <c r="P75" i="1"/>
  <c r="W75" i="1" s="1"/>
  <c r="O75" i="1"/>
  <c r="P84" i="1"/>
  <c r="W84" i="1" s="1"/>
  <c r="O84" i="1"/>
  <c r="P69" i="1"/>
  <c r="W69" i="1" s="1"/>
  <c r="O69" i="1"/>
  <c r="P73" i="1"/>
  <c r="W73" i="1" s="1"/>
  <c r="O73" i="1"/>
  <c r="O79" i="1"/>
  <c r="P79" i="1"/>
  <c r="W79" i="1" s="1"/>
  <c r="P38" i="1"/>
  <c r="W38" i="1" s="1"/>
  <c r="O38" i="1"/>
  <c r="O88" i="1"/>
  <c r="P88" i="1"/>
  <c r="W88" i="1" s="1"/>
  <c r="P61" i="1"/>
  <c r="W61" i="1" s="1"/>
  <c r="O61" i="1"/>
  <c r="P29" i="1"/>
  <c r="W29" i="1" s="1"/>
  <c r="O29" i="1"/>
  <c r="P36" i="1"/>
  <c r="W36" i="1" s="1"/>
  <c r="O36" i="1"/>
  <c r="P86" i="1"/>
  <c r="W86" i="1" s="1"/>
  <c r="O86" i="1"/>
  <c r="O18" i="1"/>
  <c r="P18" i="1"/>
  <c r="W18" i="1" s="1"/>
  <c r="P59" i="1"/>
  <c r="W59" i="1" s="1"/>
  <c r="O59" i="1"/>
  <c r="P60" i="1"/>
  <c r="W60" i="1" s="1"/>
  <c r="O60" i="1"/>
  <c r="P72" i="1"/>
  <c r="W72" i="1" s="1"/>
  <c r="O72" i="1"/>
  <c r="P94" i="1"/>
  <c r="W94" i="1" s="1"/>
  <c r="O94" i="1"/>
  <c r="P27" i="1"/>
  <c r="W27" i="1" s="1"/>
  <c r="O27" i="1"/>
  <c r="P9" i="1"/>
  <c r="W9" i="1" s="1"/>
  <c r="O9" i="1"/>
  <c r="P35" i="1"/>
  <c r="W35" i="1" s="1"/>
  <c r="O35" i="1"/>
  <c r="P28" i="1"/>
  <c r="W28" i="1" s="1"/>
  <c r="O28" i="1"/>
  <c r="P70" i="1"/>
  <c r="W70" i="1" s="1"/>
  <c r="O70" i="1"/>
  <c r="O17" i="1"/>
  <c r="P17" i="1"/>
  <c r="W17" i="1" s="1"/>
  <c r="I2" i="1"/>
  <c r="K2" i="1"/>
  <c r="J2" i="1"/>
  <c r="W3" i="1" l="1"/>
  <c r="P2" i="1"/>
  <c r="W2" i="1"/>
  <c r="O2" i="1"/>
  <c r="V2" i="1"/>
</calcChain>
</file>

<file path=xl/sharedStrings.xml><?xml version="1.0" encoding="utf-8"?>
<sst xmlns="http://schemas.openxmlformats.org/spreadsheetml/2006/main" count="110" uniqueCount="108">
  <si>
    <t>Path(['drop_duplicates_mean', 'Xmean']A)</t>
  </si>
  <si>
    <t>Path(['drop_duplicates_mean', 'Xmean']B)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</si>
  <si>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</si>
  <si>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</si>
  <si>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</si>
  <si>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</si>
  <si>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</si>
  <si>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</si>
  <si>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</si>
  <si>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</si>
  <si>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</si>
  <si>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</si>
  <si>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</si>
  <si>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</si>
  <si>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</si>
  <si>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</si>
  <si>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</si>
  <si>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</si>
  <si>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</si>
  <si>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</si>
  <si>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</si>
  <si>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</si>
  <si>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</si>
  <si>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</si>
  <si>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</si>
  <si>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</si>
  <si>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</si>
  <si>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</si>
  <si>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</si>
  <si>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</si>
  <si>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</si>
  <si>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</si>
  <si>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</si>
  <si>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</si>
  <si>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</si>
  <si>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</si>
  <si>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</si>
  <si>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</si>
  <si>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</si>
  <si>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</si>
  <si>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</si>
  <si>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</si>
  <si>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</si>
  <si>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</si>
  <si>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</si>
  <si>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</si>
  <si>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</si>
  <si>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</si>
  <si>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</si>
  <si>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</si>
  <si>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</si>
  <si>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</si>
  <si>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</si>
  <si>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</si>
  <si>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</si>
  <si>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</si>
  <si>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</si>
  <si>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</si>
  <si>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</si>
  <si>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</si>
  <si>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</si>
  <si>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</si>
  <si>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</si>
  <si>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</si>
  <si>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</si>
  <si>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</si>
  <si>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</si>
  <si>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</si>
  <si>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</si>
  <si>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</si>
  <si>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</si>
  <si>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</si>
  <si>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</si>
  <si>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</si>
  <si>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</si>
  <si>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</si>
  <si>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</si>
  <si>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</si>
  <si>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</si>
  <si>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</si>
  <si>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</si>
  <si>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</si>
  <si>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</si>
  <si>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</si>
  <si>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</si>
  <si>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</si>
  <si>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</si>
  <si>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</si>
  <si>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</si>
  <si>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</si>
  <si>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</si>
  <si>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</si>
  <si>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</si>
  <si>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</si>
  <si>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</si>
  <si>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</si>
  <si>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</si>
  <si>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</si>
  <si>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</si>
  <si>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</si>
  <si>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</si>
  <si>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</si>
  <si>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Xmean_A</t>
  </si>
  <si>
    <t>Xmean_B</t>
  </si>
  <si>
    <t>Path(drop_duplicates_meanA)</t>
  </si>
  <si>
    <t>Path(drop_duplicates_meanB)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</si>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</sst>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abSelected="1" topLeftCell="E1" zoomScale="85" zoomScaleNormal="85" workbookViewId="0">
      <selection activeCell="V3" sqref="V3:V102"/>
    </sheetView>
  </sheetViews>
  <sheetFormatPr defaultRowHeight="14.5" x14ac:dyDescent="0.35"/>
  <cols>
    <col min="1" max="1" width="8.81640625" bestFit="1" customWidth="1"/>
    <col min="2" max="2" width="36.90625" bestFit="1" customWidth="1"/>
    <col min="3" max="3" width="36.81640625" bestFit="1" customWidth="1"/>
    <col min="4" max="4" width="36.81640625" customWidth="1"/>
    <col min="5" max="5" width="19.90625" customWidth="1"/>
    <col min="6" max="6" width="36.81640625" bestFit="1" customWidth="1"/>
    <col min="7" max="7" width="36.90625" bestFit="1" customWidth="1"/>
    <col min="11" max="12" width="13.36328125" customWidth="1"/>
    <col min="13" max="13" width="27.1796875" bestFit="1" customWidth="1"/>
    <col min="14" max="14" width="27" bestFit="1" customWidth="1"/>
    <col min="15" max="15" width="3.08984375" bestFit="1" customWidth="1"/>
    <col min="17" max="18" width="13.36328125" customWidth="1"/>
  </cols>
  <sheetData>
    <row r="1" spans="1:23" x14ac:dyDescent="0.35">
      <c r="B1" s="3" t="s">
        <v>102</v>
      </c>
      <c r="C1" s="3"/>
      <c r="F1" s="3" t="s">
        <v>103</v>
      </c>
      <c r="G1" s="3"/>
    </row>
    <row r="2" spans="1:23" x14ac:dyDescent="0.35">
      <c r="B2" s="1" t="s">
        <v>0</v>
      </c>
      <c r="C2" s="1" t="s">
        <v>1</v>
      </c>
      <c r="D2">
        <f>SUM(D3:D102)</f>
        <v>43</v>
      </c>
      <c r="F2" s="1" t="s">
        <v>1</v>
      </c>
      <c r="G2" s="1" t="s">
        <v>0</v>
      </c>
      <c r="H2">
        <f>SUM(H3:H102)</f>
        <v>97</v>
      </c>
      <c r="I2">
        <f>SUM(I3:I102)</f>
        <v>43</v>
      </c>
      <c r="J2">
        <f>SUM(J3:J102)</f>
        <v>3</v>
      </c>
      <c r="K2">
        <f>SUM(K3:K102)</f>
        <v>54</v>
      </c>
      <c r="M2" s="4" t="s">
        <v>104</v>
      </c>
      <c r="N2" s="4" t="s">
        <v>105</v>
      </c>
      <c r="O2">
        <f>SUM(O3:O102)</f>
        <v>3</v>
      </c>
      <c r="P2">
        <f>SUM(P3:P102)</f>
        <v>0</v>
      </c>
      <c r="Q2">
        <f>SUM(Q3:Q102)</f>
        <v>51</v>
      </c>
      <c r="S2" s="5" t="s">
        <v>106</v>
      </c>
      <c r="T2" s="6" t="s">
        <v>107</v>
      </c>
      <c r="U2">
        <f>SUM(U3:U102)</f>
        <v>63</v>
      </c>
      <c r="V2">
        <f>SUM(V3:V102)</f>
        <v>28</v>
      </c>
      <c r="W2" s="7">
        <f>SUM(W3:W102)</f>
        <v>0</v>
      </c>
    </row>
    <row r="3" spans="1:23" x14ac:dyDescent="0.35">
      <c r="A3" s="1" t="s">
        <v>2</v>
      </c>
      <c r="B3">
        <v>38037.786142322097</v>
      </c>
      <c r="C3">
        <v>76641.090165346948</v>
      </c>
      <c r="D3">
        <f>IF(B3&lt;C3,1,0)</f>
        <v>1</v>
      </c>
      <c r="F3">
        <v>493974.66735416808</v>
      </c>
      <c r="G3">
        <v>59497.183067223828</v>
      </c>
      <c r="H3">
        <f>IF(F3&gt;G3,1,0)</f>
        <v>1</v>
      </c>
      <c r="I3">
        <f>IF(D3+H3=2,1,0)</f>
        <v>1</v>
      </c>
      <c r="J3">
        <f>IF(D3+H3=0,1,0)</f>
        <v>0</v>
      </c>
      <c r="K3">
        <f>IF(D3+H3=1,1,0)</f>
        <v>0</v>
      </c>
      <c r="M3">
        <v>216462.89272009628</v>
      </c>
      <c r="N3">
        <v>1012996.1034642077</v>
      </c>
      <c r="O3">
        <f>IF(AND(K3=1, (N3-M3) &gt;M3*0.75),1,0)</f>
        <v>0</v>
      </c>
      <c r="P3">
        <f>IF(AND(K3=1, (M3-N3) &gt;N3*0.75),1,0)</f>
        <v>0</v>
      </c>
      <c r="Q3">
        <f>IF(AND(K3=1, O3+P3=0),1,0)</f>
        <v>0</v>
      </c>
      <c r="S3">
        <v>4.5024469727713238E-3</v>
      </c>
      <c r="T3">
        <v>1.9677309645882916E-3</v>
      </c>
      <c r="U3">
        <f t="shared" ref="U3:U66" si="0">IF(S3&gt;T3,1,0)</f>
        <v>1</v>
      </c>
      <c r="V3">
        <f>IF(AND(Q3=1, S3&gt;T3),1,0)</f>
        <v>0</v>
      </c>
      <c r="W3">
        <f t="shared" ref="W3:W66" si="1">IF(AND(P3=1, S3&lt;T3),1,0)</f>
        <v>0</v>
      </c>
    </row>
    <row r="4" spans="1:23" x14ac:dyDescent="0.35">
      <c r="A4" s="1" t="s">
        <v>3</v>
      </c>
      <c r="B4">
        <v>510043.84125130821</v>
      </c>
      <c r="C4">
        <v>321375.46055227722</v>
      </c>
      <c r="D4">
        <f t="shared" ref="D4:D67" si="2">IF(B4&lt;C4,1,0)</f>
        <v>0</v>
      </c>
      <c r="F4">
        <v>615427.39245391707</v>
      </c>
      <c r="G4">
        <v>374156.29847670248</v>
      </c>
      <c r="H4">
        <f t="shared" ref="H4:H67" si="3">IF(F4&gt;G4,1,0)</f>
        <v>1</v>
      </c>
      <c r="I4">
        <f t="shared" ref="I4:I67" si="4">IF(D4+H4=2,1,0)</f>
        <v>0</v>
      </c>
      <c r="J4">
        <f t="shared" ref="J4:J67" si="5">IF(D4+H4=0,1,0)</f>
        <v>0</v>
      </c>
      <c r="K4">
        <f t="shared" ref="K4:K67" si="6">IF(D4+H4=1,1,0)</f>
        <v>1</v>
      </c>
      <c r="M4">
        <v>1645335.7373255279</v>
      </c>
      <c r="N4">
        <v>1676915.4306518245</v>
      </c>
      <c r="O4">
        <f t="shared" ref="O4:O67" si="7">IF(AND(K4=1, (N4-M4) &gt;M4*0.75),1,0)</f>
        <v>0</v>
      </c>
      <c r="P4">
        <f t="shared" ref="P4:P67" si="8">IF(AND(K4=1, (M4-N4) &gt;N4*0.75),1,0)</f>
        <v>0</v>
      </c>
      <c r="Q4">
        <f t="shared" ref="Q4:Q67" si="9">IF(AND(K4=1, O4+P4=0),1,0)</f>
        <v>1</v>
      </c>
      <c r="S4">
        <v>1.6638210069671255E-2</v>
      </c>
      <c r="T4">
        <v>4.9223149321284985E-2</v>
      </c>
      <c r="U4">
        <f t="shared" si="0"/>
        <v>0</v>
      </c>
      <c r="V4">
        <f t="shared" ref="V4:V67" si="10">IF(AND(Q4=1, S4&gt;T4),1,0)</f>
        <v>0</v>
      </c>
      <c r="W4">
        <f t="shared" si="1"/>
        <v>0</v>
      </c>
    </row>
    <row r="5" spans="1:23" x14ac:dyDescent="0.35">
      <c r="A5" s="1" t="s">
        <v>4</v>
      </c>
      <c r="B5">
        <v>77.429292929292927</v>
      </c>
      <c r="C5">
        <v>10876.27567081602</v>
      </c>
      <c r="D5">
        <f t="shared" si="2"/>
        <v>1</v>
      </c>
      <c r="F5">
        <v>580820.98779761908</v>
      </c>
      <c r="G5">
        <v>1377.3311413454271</v>
      </c>
      <c r="H5">
        <f t="shared" si="3"/>
        <v>1</v>
      </c>
      <c r="I5">
        <f t="shared" si="4"/>
        <v>1</v>
      </c>
      <c r="J5">
        <f t="shared" si="5"/>
        <v>0</v>
      </c>
      <c r="K5">
        <f t="shared" si="6"/>
        <v>0</v>
      </c>
      <c r="M5">
        <v>3192.0336429308568</v>
      </c>
      <c r="N5">
        <v>702092.22044123989</v>
      </c>
      <c r="O5">
        <f t="shared" si="7"/>
        <v>0</v>
      </c>
      <c r="P5">
        <f t="shared" si="8"/>
        <v>0</v>
      </c>
      <c r="Q5">
        <f t="shared" si="9"/>
        <v>0</v>
      </c>
      <c r="S5">
        <v>5.3987576528871248E-2</v>
      </c>
      <c r="T5">
        <v>2.2323564504148234E-2</v>
      </c>
      <c r="U5">
        <f t="shared" si="0"/>
        <v>1</v>
      </c>
      <c r="V5">
        <f t="shared" si="10"/>
        <v>0</v>
      </c>
      <c r="W5">
        <f t="shared" si="1"/>
        <v>0</v>
      </c>
    </row>
    <row r="6" spans="1:23" x14ac:dyDescent="0.35">
      <c r="A6" s="1" t="s">
        <v>5</v>
      </c>
      <c r="B6">
        <v>784063.07616473618</v>
      </c>
      <c r="C6">
        <v>322195.03322179319</v>
      </c>
      <c r="D6">
        <f t="shared" si="2"/>
        <v>0</v>
      </c>
      <c r="F6">
        <v>534202.98520760471</v>
      </c>
      <c r="G6">
        <v>428172.40793426603</v>
      </c>
      <c r="H6">
        <f t="shared" si="3"/>
        <v>1</v>
      </c>
      <c r="I6">
        <f t="shared" si="4"/>
        <v>0</v>
      </c>
      <c r="J6">
        <f t="shared" si="5"/>
        <v>0</v>
      </c>
      <c r="K6">
        <f t="shared" si="6"/>
        <v>1</v>
      </c>
      <c r="M6">
        <v>1979056.9272771711</v>
      </c>
      <c r="N6">
        <v>1426942.3820969863</v>
      </c>
      <c r="O6">
        <f t="shared" si="7"/>
        <v>0</v>
      </c>
      <c r="P6">
        <f t="shared" si="8"/>
        <v>0</v>
      </c>
      <c r="Q6">
        <f t="shared" si="9"/>
        <v>1</v>
      </c>
      <c r="S6">
        <v>4.4823328295440452E-2</v>
      </c>
      <c r="T6">
        <v>8.0692105100825348E-2</v>
      </c>
      <c r="U6">
        <f t="shared" si="0"/>
        <v>0</v>
      </c>
      <c r="V6">
        <f t="shared" si="10"/>
        <v>0</v>
      </c>
      <c r="W6">
        <f t="shared" si="1"/>
        <v>0</v>
      </c>
    </row>
    <row r="7" spans="1:23" x14ac:dyDescent="0.35">
      <c r="A7" s="1" t="s">
        <v>6</v>
      </c>
      <c r="B7">
        <v>139.26767676767679</v>
      </c>
      <c r="C7">
        <v>11975.834781474679</v>
      </c>
      <c r="D7">
        <f t="shared" si="2"/>
        <v>1</v>
      </c>
      <c r="F7">
        <v>626951.36607744102</v>
      </c>
      <c r="G7">
        <v>1284.5130651755651</v>
      </c>
      <c r="H7">
        <f t="shared" si="3"/>
        <v>1</v>
      </c>
      <c r="I7">
        <f t="shared" si="4"/>
        <v>1</v>
      </c>
      <c r="J7">
        <f t="shared" si="5"/>
        <v>0</v>
      </c>
      <c r="K7">
        <f t="shared" si="6"/>
        <v>0</v>
      </c>
      <c r="M7">
        <v>3156.48427672956</v>
      </c>
      <c r="N7">
        <v>776168.57976290933</v>
      </c>
      <c r="O7">
        <f t="shared" si="7"/>
        <v>0</v>
      </c>
      <c r="P7">
        <f t="shared" si="8"/>
        <v>0</v>
      </c>
      <c r="Q7">
        <f t="shared" si="9"/>
        <v>0</v>
      </c>
      <c r="S7">
        <v>0.17190989549496249</v>
      </c>
      <c r="T7">
        <v>3.8824932637342165E-2</v>
      </c>
      <c r="U7">
        <f t="shared" si="0"/>
        <v>1</v>
      </c>
      <c r="V7">
        <f t="shared" si="10"/>
        <v>0</v>
      </c>
      <c r="W7">
        <f t="shared" si="1"/>
        <v>0</v>
      </c>
    </row>
    <row r="8" spans="1:23" x14ac:dyDescent="0.35">
      <c r="A8" s="1" t="s">
        <v>7</v>
      </c>
      <c r="B8">
        <v>881444.23526189232</v>
      </c>
      <c r="C8">
        <v>503644.49163407442</v>
      </c>
      <c r="D8">
        <f t="shared" si="2"/>
        <v>0</v>
      </c>
      <c r="F8">
        <v>655630.4066588782</v>
      </c>
      <c r="G8">
        <v>382835.58126453892</v>
      </c>
      <c r="H8">
        <f t="shared" si="3"/>
        <v>1</v>
      </c>
      <c r="I8">
        <f t="shared" si="4"/>
        <v>0</v>
      </c>
      <c r="J8">
        <f t="shared" si="5"/>
        <v>0</v>
      </c>
      <c r="K8">
        <f t="shared" si="6"/>
        <v>1</v>
      </c>
      <c r="M8">
        <v>2251109.3766579609</v>
      </c>
      <c r="N8">
        <v>2325255.8557092049</v>
      </c>
      <c r="O8">
        <f t="shared" si="7"/>
        <v>0</v>
      </c>
      <c r="P8">
        <f t="shared" si="8"/>
        <v>0</v>
      </c>
      <c r="Q8">
        <f t="shared" si="9"/>
        <v>1</v>
      </c>
      <c r="S8">
        <v>1.2592588449952399E-3</v>
      </c>
      <c r="T8">
        <v>3.106749459129274E-4</v>
      </c>
      <c r="U8">
        <f t="shared" si="0"/>
        <v>1</v>
      </c>
      <c r="V8">
        <f t="shared" si="10"/>
        <v>1</v>
      </c>
      <c r="W8">
        <f t="shared" si="1"/>
        <v>0</v>
      </c>
    </row>
    <row r="9" spans="1:23" x14ac:dyDescent="0.35">
      <c r="A9" s="1" t="s">
        <v>8</v>
      </c>
      <c r="B9">
        <v>618225.79029051517</v>
      </c>
      <c r="C9">
        <v>419574.65296182892</v>
      </c>
      <c r="D9">
        <f t="shared" si="2"/>
        <v>0</v>
      </c>
      <c r="F9">
        <v>745242.38164794003</v>
      </c>
      <c r="G9">
        <v>361427.30537453177</v>
      </c>
      <c r="H9">
        <f t="shared" si="3"/>
        <v>1</v>
      </c>
      <c r="I9">
        <f t="shared" si="4"/>
        <v>0</v>
      </c>
      <c r="J9">
        <f t="shared" si="5"/>
        <v>0</v>
      </c>
      <c r="K9">
        <f t="shared" si="6"/>
        <v>1</v>
      </c>
      <c r="M9">
        <v>1709188.9361060904</v>
      </c>
      <c r="N9">
        <v>2024644.466051081</v>
      </c>
      <c r="O9">
        <f t="shared" si="7"/>
        <v>0</v>
      </c>
      <c r="P9">
        <f t="shared" si="8"/>
        <v>0</v>
      </c>
      <c r="Q9">
        <f t="shared" si="9"/>
        <v>1</v>
      </c>
      <c r="S9">
        <v>4.0284665329758704E-2</v>
      </c>
      <c r="T9">
        <v>5.3134241876914366E-2</v>
      </c>
      <c r="U9">
        <f t="shared" si="0"/>
        <v>0</v>
      </c>
      <c r="V9">
        <f t="shared" si="10"/>
        <v>0</v>
      </c>
      <c r="W9">
        <f t="shared" si="1"/>
        <v>0</v>
      </c>
    </row>
    <row r="10" spans="1:23" x14ac:dyDescent="0.35">
      <c r="A10" s="1" t="s">
        <v>9</v>
      </c>
      <c r="B10">
        <v>772318.13266674499</v>
      </c>
      <c r="C10">
        <v>713981.28088656918</v>
      </c>
      <c r="D10">
        <f t="shared" si="2"/>
        <v>0</v>
      </c>
      <c r="F10">
        <v>53940.5</v>
      </c>
      <c r="G10">
        <v>4940.1735968023258</v>
      </c>
      <c r="H10">
        <f t="shared" si="3"/>
        <v>1</v>
      </c>
      <c r="I10">
        <f t="shared" si="4"/>
        <v>0</v>
      </c>
      <c r="J10">
        <f t="shared" si="5"/>
        <v>0</v>
      </c>
      <c r="K10">
        <f t="shared" si="6"/>
        <v>1</v>
      </c>
      <c r="M10">
        <v>735766.74210502452</v>
      </c>
      <c r="N10">
        <v>1700993.276258993</v>
      </c>
      <c r="O10">
        <f t="shared" si="7"/>
        <v>1</v>
      </c>
      <c r="P10">
        <f t="shared" si="8"/>
        <v>0</v>
      </c>
      <c r="Q10">
        <f t="shared" si="9"/>
        <v>0</v>
      </c>
      <c r="S10">
        <v>1.240388237593331E-2</v>
      </c>
      <c r="T10">
        <v>1.227158278989576E-2</v>
      </c>
      <c r="U10">
        <f t="shared" si="0"/>
        <v>1</v>
      </c>
      <c r="V10">
        <f t="shared" si="10"/>
        <v>0</v>
      </c>
      <c r="W10">
        <f t="shared" si="1"/>
        <v>0</v>
      </c>
    </row>
    <row r="11" spans="1:23" x14ac:dyDescent="0.35">
      <c r="A11" s="1" t="s">
        <v>10</v>
      </c>
      <c r="B11">
        <v>737991.21406349214</v>
      </c>
      <c r="C11">
        <v>538700.5432939562</v>
      </c>
      <c r="D11">
        <f t="shared" si="2"/>
        <v>0</v>
      </c>
      <c r="F11">
        <v>984149.06757557788</v>
      </c>
      <c r="G11">
        <v>514434.57413444872</v>
      </c>
      <c r="H11">
        <f t="shared" si="3"/>
        <v>1</v>
      </c>
      <c r="I11">
        <f t="shared" si="4"/>
        <v>0</v>
      </c>
      <c r="J11">
        <f t="shared" si="5"/>
        <v>0</v>
      </c>
      <c r="K11">
        <f t="shared" si="6"/>
        <v>1</v>
      </c>
      <c r="M11">
        <v>2238466.9148197947</v>
      </c>
      <c r="N11">
        <v>2500596.2966233678</v>
      </c>
      <c r="O11">
        <f t="shared" si="7"/>
        <v>0</v>
      </c>
      <c r="P11">
        <f t="shared" si="8"/>
        <v>0</v>
      </c>
      <c r="Q11">
        <f t="shared" si="9"/>
        <v>1</v>
      </c>
      <c r="S11">
        <v>3.640787132032754E-3</v>
      </c>
      <c r="T11">
        <v>3.5403334073852428E-3</v>
      </c>
      <c r="U11">
        <f t="shared" si="0"/>
        <v>1</v>
      </c>
      <c r="V11">
        <f t="shared" si="10"/>
        <v>1</v>
      </c>
      <c r="W11">
        <f t="shared" si="1"/>
        <v>0</v>
      </c>
    </row>
    <row r="12" spans="1:23" x14ac:dyDescent="0.35">
      <c r="A12" s="1" t="s">
        <v>11</v>
      </c>
      <c r="B12">
        <v>6254.0171483622344</v>
      </c>
      <c r="C12">
        <v>23333.465208130019</v>
      </c>
      <c r="D12">
        <f t="shared" si="2"/>
        <v>1</v>
      </c>
      <c r="F12">
        <v>177556.3660254126</v>
      </c>
      <c r="G12">
        <v>7453.7752493765593</v>
      </c>
      <c r="H12">
        <f t="shared" si="3"/>
        <v>1</v>
      </c>
      <c r="I12">
        <f t="shared" si="4"/>
        <v>1</v>
      </c>
      <c r="J12">
        <f t="shared" si="5"/>
        <v>0</v>
      </c>
      <c r="K12">
        <f t="shared" si="6"/>
        <v>0</v>
      </c>
      <c r="M12">
        <v>29184.267213907384</v>
      </c>
      <c r="N12">
        <v>307502.42733818543</v>
      </c>
      <c r="O12">
        <f t="shared" si="7"/>
        <v>0</v>
      </c>
      <c r="P12">
        <f t="shared" si="8"/>
        <v>0</v>
      </c>
      <c r="Q12">
        <f t="shared" si="9"/>
        <v>0</v>
      </c>
      <c r="S12">
        <v>1.9324219086293941E-2</v>
      </c>
      <c r="T12">
        <v>7.3640212869669722E-2</v>
      </c>
      <c r="U12">
        <f t="shared" si="0"/>
        <v>0</v>
      </c>
      <c r="V12">
        <f t="shared" si="10"/>
        <v>0</v>
      </c>
      <c r="W12">
        <f t="shared" si="1"/>
        <v>0</v>
      </c>
    </row>
    <row r="13" spans="1:23" x14ac:dyDescent="0.35">
      <c r="A13" s="1" t="s">
        <v>12</v>
      </c>
      <c r="B13">
        <v>157.89285714285711</v>
      </c>
      <c r="C13">
        <v>11466.42997355793</v>
      </c>
      <c r="D13">
        <f t="shared" si="2"/>
        <v>1</v>
      </c>
      <c r="F13">
        <v>926847.41115836881</v>
      </c>
      <c r="G13">
        <v>1341.2774532288111</v>
      </c>
      <c r="H13">
        <f t="shared" si="3"/>
        <v>1</v>
      </c>
      <c r="I13">
        <f t="shared" si="4"/>
        <v>1</v>
      </c>
      <c r="J13">
        <f t="shared" si="5"/>
        <v>0</v>
      </c>
      <c r="K13">
        <f t="shared" si="6"/>
        <v>0</v>
      </c>
      <c r="M13">
        <v>3208.9817345551496</v>
      </c>
      <c r="N13">
        <v>1071345.8272025918</v>
      </c>
      <c r="O13">
        <f t="shared" si="7"/>
        <v>0</v>
      </c>
      <c r="P13">
        <f t="shared" si="8"/>
        <v>0</v>
      </c>
      <c r="Q13">
        <f t="shared" si="9"/>
        <v>0</v>
      </c>
      <c r="S13">
        <v>0.11968520583297582</v>
      </c>
      <c r="T13">
        <v>1.7034402172483951E-3</v>
      </c>
      <c r="U13">
        <f t="shared" si="0"/>
        <v>1</v>
      </c>
      <c r="V13">
        <f t="shared" si="10"/>
        <v>0</v>
      </c>
      <c r="W13">
        <f t="shared" si="1"/>
        <v>0</v>
      </c>
    </row>
    <row r="14" spans="1:23" x14ac:dyDescent="0.35">
      <c r="A14" s="1" t="s">
        <v>13</v>
      </c>
      <c r="B14">
        <v>549980.43270189222</v>
      </c>
      <c r="C14">
        <v>232260.51597843441</v>
      </c>
      <c r="D14">
        <f t="shared" si="2"/>
        <v>0</v>
      </c>
      <c r="F14">
        <v>421795.8344984802</v>
      </c>
      <c r="G14">
        <v>393756.09012338967</v>
      </c>
      <c r="H14">
        <f t="shared" si="3"/>
        <v>1</v>
      </c>
      <c r="I14">
        <f t="shared" si="4"/>
        <v>0</v>
      </c>
      <c r="J14">
        <f t="shared" si="5"/>
        <v>0</v>
      </c>
      <c r="K14">
        <f t="shared" si="6"/>
        <v>1</v>
      </c>
      <c r="M14">
        <v>1729676.5857728687</v>
      </c>
      <c r="N14">
        <v>1168626.9994745103</v>
      </c>
      <c r="O14">
        <f t="shared" si="7"/>
        <v>0</v>
      </c>
      <c r="P14">
        <f t="shared" si="8"/>
        <v>0</v>
      </c>
      <c r="Q14">
        <f t="shared" si="9"/>
        <v>1</v>
      </c>
      <c r="S14">
        <v>2.1627668910344504E-2</v>
      </c>
      <c r="T14">
        <v>2.0513460556887724E-2</v>
      </c>
      <c r="U14">
        <f t="shared" si="0"/>
        <v>1</v>
      </c>
      <c r="V14">
        <f t="shared" si="10"/>
        <v>1</v>
      </c>
      <c r="W14">
        <f t="shared" si="1"/>
        <v>0</v>
      </c>
    </row>
    <row r="15" spans="1:23" x14ac:dyDescent="0.35">
      <c r="A15" s="1" t="s">
        <v>14</v>
      </c>
      <c r="B15">
        <v>47</v>
      </c>
      <c r="C15">
        <v>3218.8335821711598</v>
      </c>
      <c r="D15">
        <f t="shared" si="2"/>
        <v>1</v>
      </c>
      <c r="F15">
        <v>576298.95573126734</v>
      </c>
      <c r="G15">
        <v>969.14037319175134</v>
      </c>
      <c r="H15">
        <f t="shared" si="3"/>
        <v>1</v>
      </c>
      <c r="I15">
        <f t="shared" si="4"/>
        <v>1</v>
      </c>
      <c r="J15">
        <f t="shared" si="5"/>
        <v>0</v>
      </c>
      <c r="K15">
        <f t="shared" si="6"/>
        <v>0</v>
      </c>
      <c r="M15">
        <v>2777.219217238347</v>
      </c>
      <c r="N15">
        <v>789378.93543169112</v>
      </c>
      <c r="O15">
        <f t="shared" si="7"/>
        <v>0</v>
      </c>
      <c r="P15">
        <f t="shared" si="8"/>
        <v>0</v>
      </c>
      <c r="Q15">
        <f t="shared" si="9"/>
        <v>0</v>
      </c>
      <c r="S15">
        <v>5.9839378753999535E-2</v>
      </c>
      <c r="T15">
        <v>2.1119585965707195E-2</v>
      </c>
      <c r="U15">
        <f t="shared" si="0"/>
        <v>1</v>
      </c>
      <c r="V15">
        <f t="shared" si="10"/>
        <v>0</v>
      </c>
      <c r="W15">
        <f t="shared" si="1"/>
        <v>0</v>
      </c>
    </row>
    <row r="16" spans="1:23" x14ac:dyDescent="0.35">
      <c r="A16" s="1" t="s">
        <v>15</v>
      </c>
      <c r="B16">
        <v>26366.68630705394</v>
      </c>
      <c r="C16">
        <v>220443.3239175847</v>
      </c>
      <c r="D16">
        <f t="shared" si="2"/>
        <v>1</v>
      </c>
      <c r="F16">
        <v>936131.41452693311</v>
      </c>
      <c r="G16">
        <v>42204.640540978296</v>
      </c>
      <c r="H16">
        <f t="shared" si="3"/>
        <v>1</v>
      </c>
      <c r="I16">
        <f t="shared" si="4"/>
        <v>1</v>
      </c>
      <c r="J16">
        <f t="shared" si="5"/>
        <v>0</v>
      </c>
      <c r="K16">
        <f t="shared" si="6"/>
        <v>0</v>
      </c>
      <c r="M16">
        <v>114819.58252081671</v>
      </c>
      <c r="N16">
        <v>1648550.421330139</v>
      </c>
      <c r="O16">
        <f t="shared" si="7"/>
        <v>0</v>
      </c>
      <c r="P16">
        <f t="shared" si="8"/>
        <v>0</v>
      </c>
      <c r="Q16">
        <f t="shared" si="9"/>
        <v>0</v>
      </c>
      <c r="S16">
        <v>3.1360623530011081E-2</v>
      </c>
      <c r="T16">
        <v>1.8271344897429237E-2</v>
      </c>
      <c r="U16">
        <f t="shared" si="0"/>
        <v>1</v>
      </c>
      <c r="V16">
        <f t="shared" si="10"/>
        <v>0</v>
      </c>
      <c r="W16">
        <f t="shared" si="1"/>
        <v>0</v>
      </c>
    </row>
    <row r="17" spans="1:23" x14ac:dyDescent="0.35">
      <c r="A17" s="1" t="s">
        <v>16</v>
      </c>
      <c r="B17">
        <v>711824.95129969413</v>
      </c>
      <c r="C17">
        <v>387786.65326470812</v>
      </c>
      <c r="D17">
        <f t="shared" si="2"/>
        <v>0</v>
      </c>
      <c r="F17">
        <v>750421.7575083765</v>
      </c>
      <c r="G17">
        <v>455777.30497258599</v>
      </c>
      <c r="H17">
        <f t="shared" si="3"/>
        <v>1</v>
      </c>
      <c r="I17">
        <f t="shared" si="4"/>
        <v>0</v>
      </c>
      <c r="J17">
        <f t="shared" si="5"/>
        <v>0</v>
      </c>
      <c r="K17">
        <f t="shared" si="6"/>
        <v>1</v>
      </c>
      <c r="M17">
        <v>1946598.7932754182</v>
      </c>
      <c r="N17">
        <v>1785824.843534606</v>
      </c>
      <c r="O17">
        <f t="shared" si="7"/>
        <v>0</v>
      </c>
      <c r="P17">
        <f t="shared" si="8"/>
        <v>0</v>
      </c>
      <c r="Q17">
        <f t="shared" si="9"/>
        <v>1</v>
      </c>
      <c r="S17">
        <v>8.4271024600634844E-3</v>
      </c>
      <c r="T17">
        <v>2.106459868727999E-3</v>
      </c>
      <c r="U17">
        <f t="shared" si="0"/>
        <v>1</v>
      </c>
      <c r="V17">
        <f t="shared" si="10"/>
        <v>1</v>
      </c>
      <c r="W17">
        <f t="shared" si="1"/>
        <v>0</v>
      </c>
    </row>
    <row r="18" spans="1:23" x14ac:dyDescent="0.35">
      <c r="A18" s="1" t="s">
        <v>17</v>
      </c>
      <c r="B18">
        <v>149534.67484848489</v>
      </c>
      <c r="C18">
        <v>77365.213303042852</v>
      </c>
      <c r="D18">
        <f t="shared" si="2"/>
        <v>0</v>
      </c>
      <c r="F18">
        <v>360314.05878093361</v>
      </c>
      <c r="G18">
        <v>161607.74825490569</v>
      </c>
      <c r="H18">
        <f t="shared" si="3"/>
        <v>1</v>
      </c>
      <c r="I18">
        <f t="shared" si="4"/>
        <v>0</v>
      </c>
      <c r="J18">
        <f t="shared" si="5"/>
        <v>0</v>
      </c>
      <c r="K18">
        <f t="shared" si="6"/>
        <v>1</v>
      </c>
      <c r="M18">
        <v>540493.70094915247</v>
      </c>
      <c r="N18">
        <v>610417.40928420075</v>
      </c>
      <c r="O18">
        <f t="shared" si="7"/>
        <v>0</v>
      </c>
      <c r="P18">
        <f t="shared" si="8"/>
        <v>0</v>
      </c>
      <c r="Q18">
        <f t="shared" si="9"/>
        <v>1</v>
      </c>
      <c r="S18">
        <v>4.1110536692670126E-2</v>
      </c>
      <c r="T18">
        <v>2.6323730967356265E-2</v>
      </c>
      <c r="U18">
        <f t="shared" si="0"/>
        <v>1</v>
      </c>
      <c r="V18">
        <f t="shared" si="10"/>
        <v>1</v>
      </c>
      <c r="W18">
        <f t="shared" si="1"/>
        <v>0</v>
      </c>
    </row>
    <row r="19" spans="1:23" x14ac:dyDescent="0.35">
      <c r="A19" s="1" t="s">
        <v>18</v>
      </c>
      <c r="B19">
        <v>573072.20786990784</v>
      </c>
      <c r="C19">
        <v>288697.91894771892</v>
      </c>
      <c r="D19">
        <f t="shared" si="2"/>
        <v>0</v>
      </c>
      <c r="F19">
        <v>485453.34012345679</v>
      </c>
      <c r="G19">
        <v>381658.06437757198</v>
      </c>
      <c r="H19">
        <f t="shared" si="3"/>
        <v>1</v>
      </c>
      <c r="I19">
        <f t="shared" si="4"/>
        <v>0</v>
      </c>
      <c r="J19">
        <f t="shared" si="5"/>
        <v>0</v>
      </c>
      <c r="K19">
        <f t="shared" si="6"/>
        <v>1</v>
      </c>
      <c r="M19">
        <v>1614392.5780849974</v>
      </c>
      <c r="N19">
        <v>1340125.420858935</v>
      </c>
      <c r="O19">
        <f t="shared" si="7"/>
        <v>0</v>
      </c>
      <c r="P19">
        <f t="shared" si="8"/>
        <v>0</v>
      </c>
      <c r="Q19">
        <f t="shared" si="9"/>
        <v>1</v>
      </c>
      <c r="S19">
        <v>8.8690394791758415E-2</v>
      </c>
      <c r="T19">
        <v>5.5135219786563723E-2</v>
      </c>
      <c r="U19">
        <f t="shared" si="0"/>
        <v>1</v>
      </c>
      <c r="V19">
        <f t="shared" si="10"/>
        <v>1</v>
      </c>
      <c r="W19">
        <f t="shared" si="1"/>
        <v>0</v>
      </c>
    </row>
    <row r="20" spans="1:23" x14ac:dyDescent="0.35">
      <c r="A20" s="1" t="s">
        <v>19</v>
      </c>
      <c r="B20">
        <v>462549.85762571619</v>
      </c>
      <c r="C20">
        <v>465000.25684606138</v>
      </c>
      <c r="D20">
        <f t="shared" si="2"/>
        <v>1</v>
      </c>
      <c r="F20">
        <v>819397.71794835816</v>
      </c>
      <c r="G20">
        <v>320685.49879549071</v>
      </c>
      <c r="H20">
        <f t="shared" si="3"/>
        <v>1</v>
      </c>
      <c r="I20">
        <f t="shared" si="4"/>
        <v>1</v>
      </c>
      <c r="J20">
        <f t="shared" si="5"/>
        <v>0</v>
      </c>
      <c r="K20">
        <f t="shared" si="6"/>
        <v>0</v>
      </c>
      <c r="M20">
        <v>1336478.5147438019</v>
      </c>
      <c r="N20">
        <v>2174520.351921781</v>
      </c>
      <c r="O20">
        <f t="shared" si="7"/>
        <v>0</v>
      </c>
      <c r="P20">
        <f t="shared" si="8"/>
        <v>0</v>
      </c>
      <c r="Q20">
        <f t="shared" si="9"/>
        <v>0</v>
      </c>
      <c r="S20">
        <v>6.0911594805423776E-2</v>
      </c>
      <c r="T20">
        <v>2.3029954033778284E-2</v>
      </c>
      <c r="U20">
        <f t="shared" si="0"/>
        <v>1</v>
      </c>
      <c r="V20">
        <f t="shared" si="10"/>
        <v>0</v>
      </c>
      <c r="W20">
        <f t="shared" si="1"/>
        <v>0</v>
      </c>
    </row>
    <row r="21" spans="1:23" x14ac:dyDescent="0.35">
      <c r="A21" s="1" t="s">
        <v>20</v>
      </c>
      <c r="B21">
        <v>919501.65088522586</v>
      </c>
      <c r="C21">
        <v>345955.89784742013</v>
      </c>
      <c r="D21">
        <f t="shared" si="2"/>
        <v>0</v>
      </c>
      <c r="F21">
        <v>614980.38463391131</v>
      </c>
      <c r="G21">
        <v>526936.06717646122</v>
      </c>
      <c r="H21">
        <f t="shared" si="3"/>
        <v>1</v>
      </c>
      <c r="I21">
        <f t="shared" si="4"/>
        <v>0</v>
      </c>
      <c r="J21">
        <f t="shared" si="5"/>
        <v>0</v>
      </c>
      <c r="K21">
        <f t="shared" si="6"/>
        <v>1</v>
      </c>
      <c r="M21">
        <v>2394337.7719531553</v>
      </c>
      <c r="N21">
        <v>1586115.0863246908</v>
      </c>
      <c r="O21">
        <f t="shared" si="7"/>
        <v>0</v>
      </c>
      <c r="P21">
        <f t="shared" si="8"/>
        <v>0</v>
      </c>
      <c r="Q21">
        <f t="shared" si="9"/>
        <v>1</v>
      </c>
      <c r="S21">
        <v>1.5547412854660311E-2</v>
      </c>
      <c r="T21">
        <v>4.5295876089494142E-3</v>
      </c>
      <c r="U21">
        <f t="shared" si="0"/>
        <v>1</v>
      </c>
      <c r="V21">
        <f t="shared" si="10"/>
        <v>1</v>
      </c>
      <c r="W21">
        <f t="shared" si="1"/>
        <v>0</v>
      </c>
    </row>
    <row r="22" spans="1:23" x14ac:dyDescent="0.35">
      <c r="A22" s="1" t="s">
        <v>21</v>
      </c>
      <c r="B22">
        <v>613152.7788766789</v>
      </c>
      <c r="C22">
        <v>374577.46748251747</v>
      </c>
      <c r="D22">
        <f t="shared" si="2"/>
        <v>0</v>
      </c>
      <c r="F22">
        <v>512639.27076598222</v>
      </c>
      <c r="G22">
        <v>235389.81031503319</v>
      </c>
      <c r="H22">
        <f t="shared" si="3"/>
        <v>1</v>
      </c>
      <c r="I22">
        <f t="shared" si="4"/>
        <v>0</v>
      </c>
      <c r="J22">
        <f t="shared" si="5"/>
        <v>0</v>
      </c>
      <c r="K22">
        <f t="shared" si="6"/>
        <v>1</v>
      </c>
      <c r="M22">
        <v>1545047.3481853695</v>
      </c>
      <c r="N22">
        <v>1727739.754160963</v>
      </c>
      <c r="O22">
        <f t="shared" si="7"/>
        <v>0</v>
      </c>
      <c r="P22">
        <f t="shared" si="8"/>
        <v>0</v>
      </c>
      <c r="Q22">
        <f t="shared" si="9"/>
        <v>1</v>
      </c>
      <c r="S22">
        <v>8.7909716152641912E-2</v>
      </c>
      <c r="T22">
        <v>7.2933723500788486E-2</v>
      </c>
      <c r="U22">
        <f t="shared" si="0"/>
        <v>1</v>
      </c>
      <c r="V22">
        <f t="shared" si="10"/>
        <v>1</v>
      </c>
      <c r="W22">
        <f t="shared" si="1"/>
        <v>0</v>
      </c>
    </row>
    <row r="23" spans="1:23" x14ac:dyDescent="0.35">
      <c r="A23" s="1" t="s">
        <v>22</v>
      </c>
      <c r="B23">
        <v>426798.01071152359</v>
      </c>
      <c r="C23">
        <v>420480.71147525142</v>
      </c>
      <c r="D23">
        <f t="shared" si="2"/>
        <v>0</v>
      </c>
      <c r="F23">
        <v>752394.69541308726</v>
      </c>
      <c r="G23">
        <v>255822.93479071659</v>
      </c>
      <c r="H23">
        <f t="shared" si="3"/>
        <v>1</v>
      </c>
      <c r="I23">
        <f t="shared" si="4"/>
        <v>0</v>
      </c>
      <c r="J23">
        <f t="shared" si="5"/>
        <v>0</v>
      </c>
      <c r="K23">
        <f t="shared" si="6"/>
        <v>1</v>
      </c>
      <c r="M23">
        <v>1065691.8820006589</v>
      </c>
      <c r="N23">
        <v>1889841.788309488</v>
      </c>
      <c r="O23">
        <f t="shared" si="7"/>
        <v>1</v>
      </c>
      <c r="P23">
        <f t="shared" si="8"/>
        <v>0</v>
      </c>
      <c r="Q23">
        <f t="shared" si="9"/>
        <v>0</v>
      </c>
      <c r="S23">
        <v>5.0740392015523841E-2</v>
      </c>
      <c r="T23">
        <v>4.7115357922562016E-2</v>
      </c>
      <c r="U23">
        <f t="shared" si="0"/>
        <v>1</v>
      </c>
      <c r="V23">
        <f t="shared" si="10"/>
        <v>0</v>
      </c>
      <c r="W23">
        <f t="shared" si="1"/>
        <v>0</v>
      </c>
    </row>
    <row r="24" spans="1:23" x14ac:dyDescent="0.35">
      <c r="A24" s="1" t="s">
        <v>23</v>
      </c>
      <c r="B24">
        <v>41.708333333333343</v>
      </c>
      <c r="C24">
        <v>10399.56058756725</v>
      </c>
      <c r="D24">
        <f t="shared" si="2"/>
        <v>1</v>
      </c>
      <c r="F24">
        <v>161714.43213572851</v>
      </c>
      <c r="G24">
        <v>574.72622611919019</v>
      </c>
      <c r="H24">
        <f t="shared" si="3"/>
        <v>1</v>
      </c>
      <c r="I24">
        <f t="shared" si="4"/>
        <v>1</v>
      </c>
      <c r="J24">
        <f t="shared" si="5"/>
        <v>0</v>
      </c>
      <c r="K24">
        <f t="shared" si="6"/>
        <v>0</v>
      </c>
      <c r="M24">
        <v>1390.5841170323934</v>
      </c>
      <c r="N24">
        <v>236298.38841399827</v>
      </c>
      <c r="O24">
        <f t="shared" si="7"/>
        <v>0</v>
      </c>
      <c r="P24">
        <f t="shared" si="8"/>
        <v>0</v>
      </c>
      <c r="Q24">
        <f t="shared" si="9"/>
        <v>0</v>
      </c>
      <c r="S24">
        <v>6.4098687985639127E-2</v>
      </c>
      <c r="T24">
        <v>1.7155711061542886E-2</v>
      </c>
      <c r="U24">
        <f t="shared" si="0"/>
        <v>1</v>
      </c>
      <c r="V24">
        <f t="shared" si="10"/>
        <v>0</v>
      </c>
      <c r="W24">
        <f t="shared" si="1"/>
        <v>0</v>
      </c>
    </row>
    <row r="25" spans="1:23" x14ac:dyDescent="0.35">
      <c r="A25" s="1" t="s">
        <v>24</v>
      </c>
      <c r="B25">
        <v>587247.99822825845</v>
      </c>
      <c r="C25">
        <v>341309.64813044929</v>
      </c>
      <c r="D25">
        <f t="shared" si="2"/>
        <v>0</v>
      </c>
      <c r="F25">
        <v>615418.46457075793</v>
      </c>
      <c r="G25">
        <v>350469.45817264699</v>
      </c>
      <c r="H25">
        <f t="shared" si="3"/>
        <v>1</v>
      </c>
      <c r="I25">
        <f t="shared" si="4"/>
        <v>0</v>
      </c>
      <c r="J25">
        <f t="shared" si="5"/>
        <v>0</v>
      </c>
      <c r="K25">
        <f t="shared" si="6"/>
        <v>1</v>
      </c>
      <c r="M25">
        <v>1689996.6727224793</v>
      </c>
      <c r="N25">
        <v>1747599.7948093032</v>
      </c>
      <c r="O25">
        <f t="shared" si="7"/>
        <v>0</v>
      </c>
      <c r="P25">
        <f t="shared" si="8"/>
        <v>0</v>
      </c>
      <c r="Q25">
        <f t="shared" si="9"/>
        <v>1</v>
      </c>
      <c r="S25">
        <v>3.3649808178635575E-2</v>
      </c>
      <c r="T25">
        <v>3.5981485937007104E-2</v>
      </c>
      <c r="U25">
        <f t="shared" si="0"/>
        <v>0</v>
      </c>
      <c r="V25">
        <f t="shared" si="10"/>
        <v>0</v>
      </c>
      <c r="W25">
        <f t="shared" si="1"/>
        <v>0</v>
      </c>
    </row>
    <row r="26" spans="1:23" x14ac:dyDescent="0.35">
      <c r="A26" s="1" t="s">
        <v>25</v>
      </c>
      <c r="B26">
        <v>851091.86434643401</v>
      </c>
      <c r="C26">
        <v>600634.78298629937</v>
      </c>
      <c r="D26">
        <f t="shared" si="2"/>
        <v>0</v>
      </c>
      <c r="F26">
        <v>656618.20503597741</v>
      </c>
      <c r="G26">
        <v>283355.66477939219</v>
      </c>
      <c r="H26">
        <f t="shared" si="3"/>
        <v>1</v>
      </c>
      <c r="I26">
        <f t="shared" si="4"/>
        <v>0</v>
      </c>
      <c r="J26">
        <f t="shared" si="5"/>
        <v>0</v>
      </c>
      <c r="K26">
        <f t="shared" si="6"/>
        <v>1</v>
      </c>
      <c r="M26">
        <v>2390217.2682414623</v>
      </c>
      <c r="N26">
        <v>3063764.8636970287</v>
      </c>
      <c r="O26">
        <f t="shared" si="7"/>
        <v>0</v>
      </c>
      <c r="P26">
        <f t="shared" si="8"/>
        <v>0</v>
      </c>
      <c r="Q26">
        <f t="shared" si="9"/>
        <v>1</v>
      </c>
      <c r="S26">
        <v>3.4870026338180847E-3</v>
      </c>
      <c r="T26">
        <v>9.5486268662317954E-4</v>
      </c>
      <c r="U26">
        <f t="shared" si="0"/>
        <v>1</v>
      </c>
      <c r="V26">
        <f t="shared" si="10"/>
        <v>1</v>
      </c>
      <c r="W26">
        <f t="shared" si="1"/>
        <v>0</v>
      </c>
    </row>
    <row r="27" spans="1:23" x14ac:dyDescent="0.35">
      <c r="A27" s="1" t="s">
        <v>26</v>
      </c>
      <c r="B27">
        <v>19476.697378768022</v>
      </c>
      <c r="C27">
        <v>118141.4495540762</v>
      </c>
      <c r="D27">
        <f t="shared" si="2"/>
        <v>1</v>
      </c>
      <c r="F27">
        <v>880146.99297487643</v>
      </c>
      <c r="G27">
        <v>39045.330118259233</v>
      </c>
      <c r="H27">
        <f t="shared" si="3"/>
        <v>1</v>
      </c>
      <c r="I27">
        <f t="shared" si="4"/>
        <v>1</v>
      </c>
      <c r="J27">
        <f t="shared" si="5"/>
        <v>0</v>
      </c>
      <c r="K27">
        <f t="shared" si="6"/>
        <v>0</v>
      </c>
      <c r="M27">
        <v>107572.18276628351</v>
      </c>
      <c r="N27">
        <v>1133084.0846429118</v>
      </c>
      <c r="O27">
        <f t="shared" si="7"/>
        <v>0</v>
      </c>
      <c r="P27">
        <f t="shared" si="8"/>
        <v>0</v>
      </c>
      <c r="Q27">
        <f t="shared" si="9"/>
        <v>0</v>
      </c>
      <c r="S27">
        <v>2.6449070086159515E-2</v>
      </c>
      <c r="T27">
        <v>2.6975245080689925E-2</v>
      </c>
      <c r="U27">
        <f t="shared" si="0"/>
        <v>0</v>
      </c>
      <c r="V27">
        <f t="shared" si="10"/>
        <v>0</v>
      </c>
      <c r="W27">
        <f t="shared" si="1"/>
        <v>0</v>
      </c>
    </row>
    <row r="28" spans="1:23" x14ac:dyDescent="0.35">
      <c r="A28" s="1" t="s">
        <v>27</v>
      </c>
      <c r="B28">
        <v>302136.83254993852</v>
      </c>
      <c r="C28">
        <v>332819.93217954179</v>
      </c>
      <c r="D28">
        <f t="shared" si="2"/>
        <v>1</v>
      </c>
      <c r="F28">
        <v>581282.20650879922</v>
      </c>
      <c r="G28">
        <v>233840.24817977921</v>
      </c>
      <c r="H28">
        <f t="shared" si="3"/>
        <v>1</v>
      </c>
      <c r="I28">
        <f t="shared" si="4"/>
        <v>1</v>
      </c>
      <c r="J28">
        <f t="shared" si="5"/>
        <v>0</v>
      </c>
      <c r="K28">
        <f t="shared" si="6"/>
        <v>0</v>
      </c>
      <c r="M28">
        <v>911936.23555627372</v>
      </c>
      <c r="N28">
        <v>1612731.3828343595</v>
      </c>
      <c r="O28">
        <f t="shared" si="7"/>
        <v>0</v>
      </c>
      <c r="P28">
        <f t="shared" si="8"/>
        <v>0</v>
      </c>
      <c r="Q28">
        <f t="shared" si="9"/>
        <v>0</v>
      </c>
      <c r="S28">
        <v>2.8912772680288679E-2</v>
      </c>
      <c r="T28">
        <v>2.4767248103091499E-2</v>
      </c>
      <c r="U28">
        <f t="shared" si="0"/>
        <v>1</v>
      </c>
      <c r="V28">
        <f t="shared" si="10"/>
        <v>0</v>
      </c>
      <c r="W28">
        <f t="shared" si="1"/>
        <v>0</v>
      </c>
    </row>
    <row r="29" spans="1:23" x14ac:dyDescent="0.35">
      <c r="A29" s="1" t="s">
        <v>28</v>
      </c>
      <c r="B29">
        <v>529607.30389310454</v>
      </c>
      <c r="C29">
        <v>285023.09315040871</v>
      </c>
      <c r="D29">
        <f t="shared" si="2"/>
        <v>0</v>
      </c>
      <c r="F29">
        <v>450309.46410108032</v>
      </c>
      <c r="G29">
        <v>322826.22058256168</v>
      </c>
      <c r="H29">
        <f t="shared" si="3"/>
        <v>1</v>
      </c>
      <c r="I29">
        <f t="shared" si="4"/>
        <v>0</v>
      </c>
      <c r="J29">
        <f t="shared" si="5"/>
        <v>0</v>
      </c>
      <c r="K29">
        <f t="shared" si="6"/>
        <v>1</v>
      </c>
      <c r="M29">
        <v>1432815.7498557114</v>
      </c>
      <c r="N29">
        <v>1318212.5300681363</v>
      </c>
      <c r="O29">
        <f t="shared" si="7"/>
        <v>0</v>
      </c>
      <c r="P29">
        <f t="shared" si="8"/>
        <v>0</v>
      </c>
      <c r="Q29">
        <f t="shared" si="9"/>
        <v>1</v>
      </c>
      <c r="S29">
        <v>0.11524195941853008</v>
      </c>
      <c r="T29">
        <v>3.7801519692155075E-2</v>
      </c>
      <c r="U29">
        <f t="shared" si="0"/>
        <v>1</v>
      </c>
      <c r="V29">
        <f t="shared" si="10"/>
        <v>1</v>
      </c>
      <c r="W29">
        <f t="shared" si="1"/>
        <v>0</v>
      </c>
    </row>
    <row r="30" spans="1:23" x14ac:dyDescent="0.35">
      <c r="A30" s="1" t="s">
        <v>29</v>
      </c>
      <c r="B30">
        <v>1119261.8082537521</v>
      </c>
      <c r="C30">
        <v>494868.84678831289</v>
      </c>
      <c r="D30">
        <f t="shared" si="2"/>
        <v>0</v>
      </c>
      <c r="F30">
        <v>956206.7930819029</v>
      </c>
      <c r="G30">
        <v>675214.64666139719</v>
      </c>
      <c r="H30">
        <f t="shared" si="3"/>
        <v>1</v>
      </c>
      <c r="I30">
        <f t="shared" si="4"/>
        <v>0</v>
      </c>
      <c r="J30">
        <f t="shared" si="5"/>
        <v>0</v>
      </c>
      <c r="K30">
        <f t="shared" si="6"/>
        <v>1</v>
      </c>
      <c r="M30">
        <v>2973469.1313606361</v>
      </c>
      <c r="N30">
        <v>2320418.7223604461</v>
      </c>
      <c r="O30">
        <f t="shared" si="7"/>
        <v>0</v>
      </c>
      <c r="P30">
        <f t="shared" si="8"/>
        <v>0</v>
      </c>
      <c r="Q30">
        <f t="shared" si="9"/>
        <v>1</v>
      </c>
      <c r="S30">
        <v>6.6865478079385348E-3</v>
      </c>
      <c r="T30">
        <v>7.9517103987254071E-4</v>
      </c>
      <c r="U30">
        <f t="shared" si="0"/>
        <v>1</v>
      </c>
      <c r="V30">
        <f t="shared" si="10"/>
        <v>1</v>
      </c>
      <c r="W30">
        <f t="shared" si="1"/>
        <v>0</v>
      </c>
    </row>
    <row r="31" spans="1:23" x14ac:dyDescent="0.35">
      <c r="A31" s="1" t="s">
        <v>30</v>
      </c>
      <c r="B31">
        <v>2090.9627934272298</v>
      </c>
      <c r="C31">
        <v>42546.546408120441</v>
      </c>
      <c r="D31">
        <f t="shared" si="2"/>
        <v>1</v>
      </c>
      <c r="F31">
        <v>305333.72306917788</v>
      </c>
      <c r="G31">
        <v>4208.173511411198</v>
      </c>
      <c r="H31">
        <f t="shared" si="3"/>
        <v>1</v>
      </c>
      <c r="I31">
        <f t="shared" si="4"/>
        <v>1</v>
      </c>
      <c r="J31">
        <f t="shared" si="5"/>
        <v>0</v>
      </c>
      <c r="K31">
        <f t="shared" si="6"/>
        <v>0</v>
      </c>
      <c r="M31">
        <v>13420.72103454058</v>
      </c>
      <c r="N31">
        <v>520065.95027147722</v>
      </c>
      <c r="O31">
        <f t="shared" si="7"/>
        <v>0</v>
      </c>
      <c r="P31">
        <f t="shared" si="8"/>
        <v>0</v>
      </c>
      <c r="Q31">
        <f t="shared" si="9"/>
        <v>0</v>
      </c>
      <c r="S31">
        <v>2.722073881127731E-2</v>
      </c>
      <c r="T31">
        <v>1.8552446037981573E-2</v>
      </c>
      <c r="U31">
        <f t="shared" si="0"/>
        <v>1</v>
      </c>
      <c r="V31">
        <f t="shared" si="10"/>
        <v>0</v>
      </c>
      <c r="W31">
        <f t="shared" si="1"/>
        <v>0</v>
      </c>
    </row>
    <row r="32" spans="1:23" x14ac:dyDescent="0.35">
      <c r="A32" s="1" t="s">
        <v>31</v>
      </c>
      <c r="B32">
        <v>729834.04754029238</v>
      </c>
      <c r="C32">
        <v>488935.40874641802</v>
      </c>
      <c r="D32">
        <f t="shared" si="2"/>
        <v>0</v>
      </c>
      <c r="F32">
        <v>867235.48583397781</v>
      </c>
      <c r="G32">
        <v>399870.2911114794</v>
      </c>
      <c r="H32">
        <f t="shared" si="3"/>
        <v>1</v>
      </c>
      <c r="I32">
        <f t="shared" si="4"/>
        <v>0</v>
      </c>
      <c r="J32">
        <f t="shared" si="5"/>
        <v>0</v>
      </c>
      <c r="K32">
        <f t="shared" si="6"/>
        <v>1</v>
      </c>
      <c r="M32">
        <v>2108222.031061362</v>
      </c>
      <c r="N32">
        <v>2472974.7250955999</v>
      </c>
      <c r="O32">
        <f t="shared" si="7"/>
        <v>0</v>
      </c>
      <c r="P32">
        <f t="shared" si="8"/>
        <v>0</v>
      </c>
      <c r="Q32">
        <f t="shared" si="9"/>
        <v>1</v>
      </c>
      <c r="S32">
        <v>3.5864048110102486E-3</v>
      </c>
      <c r="T32">
        <v>5.7702278973939926E-3</v>
      </c>
      <c r="U32">
        <f t="shared" si="0"/>
        <v>0</v>
      </c>
      <c r="V32">
        <f t="shared" si="10"/>
        <v>0</v>
      </c>
      <c r="W32">
        <f t="shared" si="1"/>
        <v>0</v>
      </c>
    </row>
    <row r="33" spans="1:23" x14ac:dyDescent="0.35">
      <c r="A33" s="1" t="s">
        <v>32</v>
      </c>
      <c r="B33">
        <v>6860.3954565312351</v>
      </c>
      <c r="C33">
        <v>85568.859466946815</v>
      </c>
      <c r="D33">
        <f t="shared" si="2"/>
        <v>1</v>
      </c>
      <c r="F33">
        <v>598548.46194275585</v>
      </c>
      <c r="G33">
        <v>26860.44210412445</v>
      </c>
      <c r="H33">
        <f t="shared" si="3"/>
        <v>1</v>
      </c>
      <c r="I33">
        <f t="shared" si="4"/>
        <v>1</v>
      </c>
      <c r="J33">
        <f t="shared" si="5"/>
        <v>0</v>
      </c>
      <c r="K33">
        <f t="shared" si="6"/>
        <v>0</v>
      </c>
      <c r="M33">
        <v>65999.779691545657</v>
      </c>
      <c r="N33">
        <v>735094.60302126058</v>
      </c>
      <c r="O33">
        <f t="shared" si="7"/>
        <v>0</v>
      </c>
      <c r="P33">
        <f t="shared" si="8"/>
        <v>0</v>
      </c>
      <c r="Q33">
        <f t="shared" si="9"/>
        <v>0</v>
      </c>
      <c r="S33">
        <v>1.8828364252143363E-3</v>
      </c>
      <c r="T33">
        <v>2.8666951513249519E-2</v>
      </c>
      <c r="U33">
        <f t="shared" si="0"/>
        <v>0</v>
      </c>
      <c r="V33">
        <f t="shared" si="10"/>
        <v>0</v>
      </c>
      <c r="W33">
        <f t="shared" si="1"/>
        <v>0</v>
      </c>
    </row>
    <row r="34" spans="1:23" x14ac:dyDescent="0.35">
      <c r="A34" s="1" t="s">
        <v>33</v>
      </c>
      <c r="B34">
        <v>109053.67948592969</v>
      </c>
      <c r="C34">
        <v>87787.715199002938</v>
      </c>
      <c r="D34">
        <f t="shared" si="2"/>
        <v>0</v>
      </c>
      <c r="F34">
        <v>178808.09418730589</v>
      </c>
      <c r="G34">
        <v>94220.35254419157</v>
      </c>
      <c r="H34">
        <f t="shared" si="3"/>
        <v>1</v>
      </c>
      <c r="I34">
        <f t="shared" si="4"/>
        <v>0</v>
      </c>
      <c r="J34">
        <f t="shared" si="5"/>
        <v>0</v>
      </c>
      <c r="K34">
        <f t="shared" si="6"/>
        <v>1</v>
      </c>
      <c r="M34">
        <v>363459.0887914747</v>
      </c>
      <c r="N34">
        <v>460685.5041970975</v>
      </c>
      <c r="O34">
        <f t="shared" si="7"/>
        <v>0</v>
      </c>
      <c r="P34">
        <f t="shared" si="8"/>
        <v>0</v>
      </c>
      <c r="Q34">
        <f t="shared" si="9"/>
        <v>1</v>
      </c>
      <c r="S34">
        <v>4.2018859822652868E-2</v>
      </c>
      <c r="T34">
        <v>1.4497846407143735E-2</v>
      </c>
      <c r="U34">
        <f t="shared" si="0"/>
        <v>1</v>
      </c>
      <c r="V34">
        <f t="shared" si="10"/>
        <v>1</v>
      </c>
      <c r="W34">
        <f t="shared" si="1"/>
        <v>0</v>
      </c>
    </row>
    <row r="35" spans="1:23" x14ac:dyDescent="0.35">
      <c r="A35" s="1" t="s">
        <v>34</v>
      </c>
      <c r="B35">
        <v>9486.2555555555555</v>
      </c>
      <c r="C35">
        <v>22606.018413009009</v>
      </c>
      <c r="D35">
        <f t="shared" si="2"/>
        <v>1</v>
      </c>
      <c r="F35">
        <v>95886.386519607855</v>
      </c>
      <c r="G35">
        <v>9965.0422268907569</v>
      </c>
      <c r="H35">
        <f t="shared" si="3"/>
        <v>1</v>
      </c>
      <c r="I35">
        <f t="shared" si="4"/>
        <v>1</v>
      </c>
      <c r="J35">
        <f t="shared" si="5"/>
        <v>0</v>
      </c>
      <c r="K35">
        <f t="shared" si="6"/>
        <v>0</v>
      </c>
      <c r="M35">
        <v>29021.519939424539</v>
      </c>
      <c r="N35">
        <v>151731.47871926305</v>
      </c>
      <c r="O35">
        <f t="shared" si="7"/>
        <v>0</v>
      </c>
      <c r="P35">
        <f t="shared" si="8"/>
        <v>0</v>
      </c>
      <c r="Q35">
        <f t="shared" si="9"/>
        <v>0</v>
      </c>
      <c r="S35">
        <v>8.4588498523280372E-3</v>
      </c>
      <c r="T35">
        <v>9.0184580420748325E-2</v>
      </c>
      <c r="U35">
        <f t="shared" si="0"/>
        <v>0</v>
      </c>
      <c r="V35">
        <f t="shared" si="10"/>
        <v>0</v>
      </c>
      <c r="W35">
        <f t="shared" si="1"/>
        <v>0</v>
      </c>
    </row>
    <row r="36" spans="1:23" x14ac:dyDescent="0.35">
      <c r="A36" s="1" t="s">
        <v>35</v>
      </c>
      <c r="B36">
        <v>5284.6473404255321</v>
      </c>
      <c r="C36">
        <v>196008.55766971651</v>
      </c>
      <c r="D36">
        <f t="shared" si="2"/>
        <v>1</v>
      </c>
      <c r="F36">
        <v>613473.12567081465</v>
      </c>
      <c r="G36">
        <v>11259.56656064581</v>
      </c>
      <c r="H36">
        <f t="shared" si="3"/>
        <v>1</v>
      </c>
      <c r="I36">
        <f t="shared" si="4"/>
        <v>1</v>
      </c>
      <c r="J36">
        <f t="shared" si="5"/>
        <v>0</v>
      </c>
      <c r="K36">
        <f t="shared" si="6"/>
        <v>0</v>
      </c>
      <c r="M36">
        <v>34366.174727541162</v>
      </c>
      <c r="N36">
        <v>1420738.0017724447</v>
      </c>
      <c r="O36">
        <f t="shared" si="7"/>
        <v>0</v>
      </c>
      <c r="P36">
        <f t="shared" si="8"/>
        <v>0</v>
      </c>
      <c r="Q36">
        <f t="shared" si="9"/>
        <v>0</v>
      </c>
      <c r="S36">
        <v>1.7129173764794062E-2</v>
      </c>
      <c r="T36">
        <v>3.6612487965921189E-2</v>
      </c>
      <c r="U36">
        <f t="shared" si="0"/>
        <v>0</v>
      </c>
      <c r="V36">
        <f t="shared" si="10"/>
        <v>0</v>
      </c>
      <c r="W36">
        <f t="shared" si="1"/>
        <v>0</v>
      </c>
    </row>
    <row r="37" spans="1:23" x14ac:dyDescent="0.35">
      <c r="A37" s="1" t="s">
        <v>36</v>
      </c>
      <c r="B37">
        <v>8568.3351715686276</v>
      </c>
      <c r="C37">
        <v>108318.21941809139</v>
      </c>
      <c r="D37">
        <f t="shared" si="2"/>
        <v>1</v>
      </c>
      <c r="F37">
        <v>699493.37102793041</v>
      </c>
      <c r="G37">
        <v>14017.201488095239</v>
      </c>
      <c r="H37">
        <f t="shared" si="3"/>
        <v>1</v>
      </c>
      <c r="I37">
        <f t="shared" si="4"/>
        <v>1</v>
      </c>
      <c r="J37">
        <f t="shared" si="5"/>
        <v>0</v>
      </c>
      <c r="K37">
        <f t="shared" si="6"/>
        <v>0</v>
      </c>
      <c r="M37">
        <v>42996.295980724703</v>
      </c>
      <c r="N37">
        <v>1117480.6055820554</v>
      </c>
      <c r="O37">
        <f t="shared" si="7"/>
        <v>0</v>
      </c>
      <c r="P37">
        <f t="shared" si="8"/>
        <v>0</v>
      </c>
      <c r="Q37">
        <f t="shared" si="9"/>
        <v>0</v>
      </c>
      <c r="S37">
        <v>2.1181666847959458E-2</v>
      </c>
      <c r="T37">
        <v>5.8720188249364764E-2</v>
      </c>
      <c r="U37">
        <f t="shared" si="0"/>
        <v>0</v>
      </c>
      <c r="V37">
        <f t="shared" si="10"/>
        <v>0</v>
      </c>
      <c r="W37">
        <f t="shared" si="1"/>
        <v>0</v>
      </c>
    </row>
    <row r="38" spans="1:23" x14ac:dyDescent="0.35">
      <c r="A38" s="1" t="s">
        <v>37</v>
      </c>
      <c r="B38">
        <v>638708.03396674583</v>
      </c>
      <c r="C38">
        <v>433240.34293914709</v>
      </c>
      <c r="D38">
        <f t="shared" si="2"/>
        <v>0</v>
      </c>
      <c r="F38">
        <v>712895.33724244498</v>
      </c>
      <c r="G38">
        <v>354188.16058550822</v>
      </c>
      <c r="H38">
        <f t="shared" si="3"/>
        <v>1</v>
      </c>
      <c r="I38">
        <f t="shared" si="4"/>
        <v>0</v>
      </c>
      <c r="J38">
        <f t="shared" si="5"/>
        <v>0</v>
      </c>
      <c r="K38">
        <f t="shared" si="6"/>
        <v>1</v>
      </c>
      <c r="M38">
        <v>1700784.1877667336</v>
      </c>
      <c r="N38">
        <v>2110142.3403275693</v>
      </c>
      <c r="O38">
        <f t="shared" si="7"/>
        <v>0</v>
      </c>
      <c r="P38">
        <f t="shared" si="8"/>
        <v>0</v>
      </c>
      <c r="Q38">
        <f t="shared" si="9"/>
        <v>1</v>
      </c>
      <c r="S38">
        <v>4.2056531528148637E-2</v>
      </c>
      <c r="T38">
        <v>4.8039096273695563E-2</v>
      </c>
      <c r="U38">
        <f t="shared" si="0"/>
        <v>0</v>
      </c>
      <c r="V38">
        <f t="shared" si="10"/>
        <v>0</v>
      </c>
      <c r="W38">
        <f t="shared" si="1"/>
        <v>0</v>
      </c>
    </row>
    <row r="39" spans="1:23" x14ac:dyDescent="0.35">
      <c r="A39" s="1" t="s">
        <v>38</v>
      </c>
      <c r="B39">
        <v>788611.91379670706</v>
      </c>
      <c r="C39">
        <v>454608.93042550638</v>
      </c>
      <c r="D39">
        <f t="shared" si="2"/>
        <v>0</v>
      </c>
      <c r="F39">
        <v>945823.61987585551</v>
      </c>
      <c r="G39">
        <v>441323.31184954609</v>
      </c>
      <c r="H39">
        <f t="shared" si="3"/>
        <v>1</v>
      </c>
      <c r="I39">
        <f t="shared" si="4"/>
        <v>0</v>
      </c>
      <c r="J39">
        <f t="shared" si="5"/>
        <v>0</v>
      </c>
      <c r="K39">
        <f t="shared" si="6"/>
        <v>1</v>
      </c>
      <c r="M39">
        <v>2288183.9477969352</v>
      </c>
      <c r="N39">
        <v>2556683.7756036008</v>
      </c>
      <c r="O39">
        <f t="shared" si="7"/>
        <v>0</v>
      </c>
      <c r="P39">
        <f t="shared" si="8"/>
        <v>0</v>
      </c>
      <c r="Q39">
        <f t="shared" si="9"/>
        <v>1</v>
      </c>
      <c r="S39">
        <v>1.4688808021683927E-2</v>
      </c>
      <c r="T39">
        <v>9.2843674309940252E-3</v>
      </c>
      <c r="U39">
        <f t="shared" si="0"/>
        <v>1</v>
      </c>
      <c r="V39">
        <f t="shared" si="10"/>
        <v>1</v>
      </c>
      <c r="W39">
        <f t="shared" si="1"/>
        <v>0</v>
      </c>
    </row>
    <row r="40" spans="1:23" x14ac:dyDescent="0.35">
      <c r="A40" s="1" t="s">
        <v>39</v>
      </c>
      <c r="B40">
        <v>7958.0154320987658</v>
      </c>
      <c r="C40">
        <v>103790.28737988501</v>
      </c>
      <c r="D40">
        <f t="shared" si="2"/>
        <v>1</v>
      </c>
      <c r="F40">
        <v>570266.55178146996</v>
      </c>
      <c r="G40">
        <v>13316.9589262136</v>
      </c>
      <c r="H40">
        <f t="shared" si="3"/>
        <v>1</v>
      </c>
      <c r="I40">
        <f t="shared" si="4"/>
        <v>1</v>
      </c>
      <c r="J40">
        <f t="shared" si="5"/>
        <v>0</v>
      </c>
      <c r="K40">
        <f t="shared" si="6"/>
        <v>0</v>
      </c>
      <c r="M40">
        <v>46339.977282118474</v>
      </c>
      <c r="N40">
        <v>1185666.6145470196</v>
      </c>
      <c r="O40">
        <f t="shared" si="7"/>
        <v>0</v>
      </c>
      <c r="P40">
        <f t="shared" si="8"/>
        <v>0</v>
      </c>
      <c r="Q40">
        <f t="shared" si="9"/>
        <v>0</v>
      </c>
      <c r="S40">
        <v>6.4645232381130941E-3</v>
      </c>
      <c r="T40">
        <v>4.7439911192140985E-2</v>
      </c>
      <c r="U40">
        <f t="shared" si="0"/>
        <v>0</v>
      </c>
      <c r="V40">
        <f t="shared" si="10"/>
        <v>0</v>
      </c>
      <c r="W40">
        <f t="shared" si="1"/>
        <v>0</v>
      </c>
    </row>
    <row r="41" spans="1:23" x14ac:dyDescent="0.35">
      <c r="A41" s="1" t="s">
        <v>40</v>
      </c>
      <c r="B41">
        <v>358410.23093681922</v>
      </c>
      <c r="C41">
        <v>194932.6168674136</v>
      </c>
      <c r="D41">
        <f t="shared" si="2"/>
        <v>0</v>
      </c>
      <c r="F41">
        <v>310553.56243571761</v>
      </c>
      <c r="G41">
        <v>229986.96419471709</v>
      </c>
      <c r="H41">
        <f t="shared" si="3"/>
        <v>1</v>
      </c>
      <c r="I41">
        <f t="shared" si="4"/>
        <v>0</v>
      </c>
      <c r="J41">
        <f t="shared" si="5"/>
        <v>0</v>
      </c>
      <c r="K41">
        <f t="shared" si="6"/>
        <v>1</v>
      </c>
      <c r="M41">
        <v>1022518.5596822558</v>
      </c>
      <c r="N41">
        <v>862418.0911288705</v>
      </c>
      <c r="O41">
        <f t="shared" si="7"/>
        <v>0</v>
      </c>
      <c r="P41">
        <f t="shared" si="8"/>
        <v>0</v>
      </c>
      <c r="Q41">
        <f t="shared" si="9"/>
        <v>1</v>
      </c>
      <c r="S41">
        <v>1.3405263405072801E-2</v>
      </c>
      <c r="T41">
        <v>3.0235957903206798E-2</v>
      </c>
      <c r="U41">
        <f t="shared" si="0"/>
        <v>0</v>
      </c>
      <c r="V41">
        <f t="shared" si="10"/>
        <v>0</v>
      </c>
      <c r="W41">
        <f t="shared" si="1"/>
        <v>0</v>
      </c>
    </row>
    <row r="42" spans="1:23" x14ac:dyDescent="0.35">
      <c r="A42" s="1" t="s">
        <v>41</v>
      </c>
      <c r="B42">
        <v>42113.128712871279</v>
      </c>
      <c r="C42">
        <v>87765.292996932272</v>
      </c>
      <c r="D42">
        <f t="shared" si="2"/>
        <v>1</v>
      </c>
      <c r="F42">
        <v>859654.12923861854</v>
      </c>
      <c r="G42">
        <v>79939.775706436427</v>
      </c>
      <c r="H42">
        <f t="shared" si="3"/>
        <v>1</v>
      </c>
      <c r="I42">
        <f t="shared" si="4"/>
        <v>1</v>
      </c>
      <c r="J42">
        <f t="shared" si="5"/>
        <v>0</v>
      </c>
      <c r="K42">
        <f t="shared" si="6"/>
        <v>0</v>
      </c>
      <c r="M42">
        <v>252215.62456154553</v>
      </c>
      <c r="N42">
        <v>1246970.6399247283</v>
      </c>
      <c r="O42">
        <f t="shared" si="7"/>
        <v>0</v>
      </c>
      <c r="P42">
        <f t="shared" si="8"/>
        <v>0</v>
      </c>
      <c r="Q42">
        <f t="shared" si="9"/>
        <v>0</v>
      </c>
      <c r="S42">
        <v>6.2875163651691005E-2</v>
      </c>
      <c r="T42">
        <v>3.0757701064693457E-3</v>
      </c>
      <c r="U42">
        <f t="shared" si="0"/>
        <v>1</v>
      </c>
      <c r="V42">
        <f t="shared" si="10"/>
        <v>0</v>
      </c>
      <c r="W42">
        <f t="shared" si="1"/>
        <v>0</v>
      </c>
    </row>
    <row r="43" spans="1:23" x14ac:dyDescent="0.35">
      <c r="A43" s="1" t="s">
        <v>42</v>
      </c>
      <c r="B43">
        <v>834491.0719122024</v>
      </c>
      <c r="C43">
        <v>420234.25820312498</v>
      </c>
      <c r="D43">
        <f t="shared" si="2"/>
        <v>0</v>
      </c>
      <c r="F43">
        <v>734071.09904801985</v>
      </c>
      <c r="G43">
        <v>479417.86267486372</v>
      </c>
      <c r="H43">
        <f t="shared" si="3"/>
        <v>1</v>
      </c>
      <c r="I43">
        <f t="shared" si="4"/>
        <v>0</v>
      </c>
      <c r="J43">
        <f t="shared" si="5"/>
        <v>0</v>
      </c>
      <c r="K43">
        <f t="shared" si="6"/>
        <v>1</v>
      </c>
      <c r="M43">
        <v>2098073.426976155</v>
      </c>
      <c r="N43">
        <v>1838183.8468080405</v>
      </c>
      <c r="O43">
        <f t="shared" si="7"/>
        <v>0</v>
      </c>
      <c r="P43">
        <f t="shared" si="8"/>
        <v>0</v>
      </c>
      <c r="Q43">
        <f t="shared" si="9"/>
        <v>1</v>
      </c>
      <c r="S43">
        <v>3.0009088746757166E-2</v>
      </c>
      <c r="T43">
        <v>2.6563880346373602E-3</v>
      </c>
      <c r="U43">
        <f t="shared" si="0"/>
        <v>1</v>
      </c>
      <c r="V43">
        <f t="shared" si="10"/>
        <v>1</v>
      </c>
      <c r="W43">
        <f t="shared" si="1"/>
        <v>0</v>
      </c>
    </row>
    <row r="44" spans="1:23" x14ac:dyDescent="0.35">
      <c r="A44" s="1" t="s">
        <v>43</v>
      </c>
      <c r="B44">
        <v>182.07142857142861</v>
      </c>
      <c r="C44">
        <v>13155.55687270901</v>
      </c>
      <c r="D44">
        <f t="shared" si="2"/>
        <v>1</v>
      </c>
      <c r="F44">
        <v>560936.96545584046</v>
      </c>
      <c r="G44">
        <v>2810.2960648148151</v>
      </c>
      <c r="H44">
        <f t="shared" si="3"/>
        <v>1</v>
      </c>
      <c r="I44">
        <f t="shared" si="4"/>
        <v>1</v>
      </c>
      <c r="J44">
        <f t="shared" si="5"/>
        <v>0</v>
      </c>
      <c r="K44">
        <f t="shared" si="6"/>
        <v>0</v>
      </c>
      <c r="M44">
        <v>6267.370725264168</v>
      </c>
      <c r="N44">
        <v>686524.02552265127</v>
      </c>
      <c r="O44">
        <f t="shared" si="7"/>
        <v>0</v>
      </c>
      <c r="P44">
        <f t="shared" si="8"/>
        <v>0</v>
      </c>
      <c r="Q44">
        <f t="shared" si="9"/>
        <v>0</v>
      </c>
      <c r="S44">
        <v>0.14290101644948308</v>
      </c>
      <c r="T44">
        <v>1.8666892874439973E-2</v>
      </c>
      <c r="U44">
        <f t="shared" si="0"/>
        <v>1</v>
      </c>
      <c r="V44">
        <f t="shared" si="10"/>
        <v>0</v>
      </c>
      <c r="W44">
        <f t="shared" si="1"/>
        <v>0</v>
      </c>
    </row>
    <row r="45" spans="1:23" x14ac:dyDescent="0.35">
      <c r="A45" s="1" t="s">
        <v>44</v>
      </c>
      <c r="B45">
        <v>512693.29374039941</v>
      </c>
      <c r="C45">
        <v>362118.70737327193</v>
      </c>
      <c r="D45">
        <f t="shared" si="2"/>
        <v>0</v>
      </c>
      <c r="F45">
        <v>592648.53501913766</v>
      </c>
      <c r="G45">
        <v>280181.69825650117</v>
      </c>
      <c r="H45">
        <f t="shared" si="3"/>
        <v>1</v>
      </c>
      <c r="I45">
        <f t="shared" si="4"/>
        <v>0</v>
      </c>
      <c r="J45">
        <f t="shared" si="5"/>
        <v>0</v>
      </c>
      <c r="K45">
        <f t="shared" si="6"/>
        <v>1</v>
      </c>
      <c r="M45">
        <v>1427285.5273752012</v>
      </c>
      <c r="N45">
        <v>1574539.360990338</v>
      </c>
      <c r="O45">
        <f t="shared" si="7"/>
        <v>0</v>
      </c>
      <c r="P45">
        <f t="shared" si="8"/>
        <v>0</v>
      </c>
      <c r="Q45">
        <f t="shared" si="9"/>
        <v>1</v>
      </c>
      <c r="S45">
        <v>1.336677176973353E-2</v>
      </c>
      <c r="T45">
        <v>3.3444962398106577E-2</v>
      </c>
      <c r="U45">
        <f t="shared" si="0"/>
        <v>0</v>
      </c>
      <c r="V45">
        <f t="shared" si="10"/>
        <v>0</v>
      </c>
      <c r="W45">
        <f t="shared" si="1"/>
        <v>0</v>
      </c>
    </row>
    <row r="46" spans="1:23" x14ac:dyDescent="0.35">
      <c r="A46" s="1" t="s">
        <v>45</v>
      </c>
      <c r="B46">
        <v>243.32</v>
      </c>
      <c r="C46">
        <v>9423.9974069152177</v>
      </c>
      <c r="D46">
        <f t="shared" si="2"/>
        <v>1</v>
      </c>
      <c r="F46">
        <v>596602.58742508444</v>
      </c>
      <c r="G46">
        <v>1234.1562820093709</v>
      </c>
      <c r="H46">
        <f t="shared" si="3"/>
        <v>1</v>
      </c>
      <c r="I46">
        <f t="shared" si="4"/>
        <v>1</v>
      </c>
      <c r="J46">
        <f t="shared" si="5"/>
        <v>0</v>
      </c>
      <c r="K46">
        <f t="shared" si="6"/>
        <v>0</v>
      </c>
      <c r="M46">
        <v>2861.7170731707315</v>
      </c>
      <c r="N46">
        <v>686553.81130948965</v>
      </c>
      <c r="O46">
        <f t="shared" si="7"/>
        <v>0</v>
      </c>
      <c r="P46">
        <f t="shared" si="8"/>
        <v>0</v>
      </c>
      <c r="Q46">
        <f t="shared" si="9"/>
        <v>0</v>
      </c>
      <c r="S46">
        <v>4.2332783788602536E-2</v>
      </c>
      <c r="T46">
        <v>8.1248888591322374E-4</v>
      </c>
      <c r="U46">
        <f t="shared" si="0"/>
        <v>1</v>
      </c>
      <c r="V46">
        <f t="shared" si="10"/>
        <v>0</v>
      </c>
      <c r="W46">
        <f t="shared" si="1"/>
        <v>0</v>
      </c>
    </row>
    <row r="47" spans="1:23" x14ac:dyDescent="0.35">
      <c r="A47" s="1" t="s">
        <v>46</v>
      </c>
      <c r="B47">
        <v>732134.53396110749</v>
      </c>
      <c r="C47">
        <v>480598.84559456463</v>
      </c>
      <c r="D47">
        <f t="shared" si="2"/>
        <v>0</v>
      </c>
      <c r="F47">
        <v>876677.69664312294</v>
      </c>
      <c r="G47">
        <v>438037.29589504062</v>
      </c>
      <c r="H47">
        <f t="shared" si="3"/>
        <v>1</v>
      </c>
      <c r="I47">
        <f t="shared" si="4"/>
        <v>0</v>
      </c>
      <c r="J47">
        <f t="shared" si="5"/>
        <v>0</v>
      </c>
      <c r="K47">
        <f t="shared" si="6"/>
        <v>1</v>
      </c>
      <c r="M47">
        <v>2016485.25137801</v>
      </c>
      <c r="N47">
        <v>2415984.27777554</v>
      </c>
      <c r="O47">
        <f t="shared" si="7"/>
        <v>0</v>
      </c>
      <c r="P47">
        <f t="shared" si="8"/>
        <v>0</v>
      </c>
      <c r="Q47">
        <f t="shared" si="9"/>
        <v>1</v>
      </c>
      <c r="S47">
        <v>2.6733756731630271E-2</v>
      </c>
      <c r="T47">
        <v>1.2601055851665488E-2</v>
      </c>
      <c r="U47">
        <f t="shared" si="0"/>
        <v>1</v>
      </c>
      <c r="V47">
        <f t="shared" si="10"/>
        <v>1</v>
      </c>
      <c r="W47">
        <f t="shared" si="1"/>
        <v>0</v>
      </c>
    </row>
    <row r="48" spans="1:23" x14ac:dyDescent="0.35">
      <c r="A48" s="1" t="s">
        <v>47</v>
      </c>
      <c r="B48">
        <v>255324.4070330353</v>
      </c>
      <c r="C48">
        <v>246553.50298193691</v>
      </c>
      <c r="D48">
        <f t="shared" si="2"/>
        <v>0</v>
      </c>
      <c r="F48">
        <v>468175.46672829898</v>
      </c>
      <c r="G48">
        <v>191382.4256260542</v>
      </c>
      <c r="H48">
        <f t="shared" si="3"/>
        <v>1</v>
      </c>
      <c r="I48">
        <f t="shared" si="4"/>
        <v>0</v>
      </c>
      <c r="J48">
        <f t="shared" si="5"/>
        <v>0</v>
      </c>
      <c r="K48">
        <f t="shared" si="6"/>
        <v>1</v>
      </c>
      <c r="M48">
        <v>893476.68130327109</v>
      </c>
      <c r="N48">
        <v>1360362.1556809237</v>
      </c>
      <c r="O48">
        <f t="shared" si="7"/>
        <v>0</v>
      </c>
      <c r="P48">
        <f t="shared" si="8"/>
        <v>0</v>
      </c>
      <c r="Q48">
        <f t="shared" si="9"/>
        <v>1</v>
      </c>
      <c r="S48">
        <v>1.9639500967670576E-2</v>
      </c>
      <c r="T48">
        <v>1.1836945431205248E-2</v>
      </c>
      <c r="U48">
        <f t="shared" si="0"/>
        <v>1</v>
      </c>
      <c r="V48">
        <f t="shared" si="10"/>
        <v>1</v>
      </c>
      <c r="W48">
        <f t="shared" si="1"/>
        <v>0</v>
      </c>
    </row>
    <row r="49" spans="1:23" x14ac:dyDescent="0.35">
      <c r="A49" s="1" t="s">
        <v>48</v>
      </c>
      <c r="B49">
        <v>767.6732804232804</v>
      </c>
      <c r="C49">
        <v>17566.390710392971</v>
      </c>
      <c r="D49">
        <f t="shared" si="2"/>
        <v>1</v>
      </c>
      <c r="F49">
        <v>856886.89223289315</v>
      </c>
      <c r="G49">
        <v>4094.8644397759099</v>
      </c>
      <c r="H49">
        <f t="shared" si="3"/>
        <v>1</v>
      </c>
      <c r="I49">
        <f t="shared" si="4"/>
        <v>1</v>
      </c>
      <c r="J49">
        <f t="shared" si="5"/>
        <v>0</v>
      </c>
      <c r="K49">
        <f t="shared" si="6"/>
        <v>0</v>
      </c>
      <c r="M49">
        <v>10727.19913856305</v>
      </c>
      <c r="N49">
        <v>1020255.5926284025</v>
      </c>
      <c r="O49">
        <f t="shared" si="7"/>
        <v>0</v>
      </c>
      <c r="P49">
        <f t="shared" si="8"/>
        <v>0</v>
      </c>
      <c r="Q49">
        <f t="shared" si="9"/>
        <v>0</v>
      </c>
      <c r="S49">
        <v>5.5856930286421039E-2</v>
      </c>
      <c r="T49">
        <v>3.7698479508351673E-2</v>
      </c>
      <c r="U49">
        <f t="shared" si="0"/>
        <v>1</v>
      </c>
      <c r="V49">
        <f t="shared" si="10"/>
        <v>0</v>
      </c>
      <c r="W49">
        <f t="shared" si="1"/>
        <v>0</v>
      </c>
    </row>
    <row r="50" spans="1:23" x14ac:dyDescent="0.35">
      <c r="A50" s="1" t="s">
        <v>49</v>
      </c>
      <c r="B50">
        <v>302087.66783325619</v>
      </c>
      <c r="C50">
        <v>84707.902505598031</v>
      </c>
      <c r="D50">
        <f t="shared" si="2"/>
        <v>0</v>
      </c>
      <c r="F50">
        <v>207103.08331549511</v>
      </c>
      <c r="G50">
        <v>136269.73766196889</v>
      </c>
      <c r="H50">
        <f t="shared" si="3"/>
        <v>1</v>
      </c>
      <c r="I50">
        <f t="shared" si="4"/>
        <v>0</v>
      </c>
      <c r="J50">
        <f t="shared" si="5"/>
        <v>0</v>
      </c>
      <c r="K50">
        <f t="shared" si="6"/>
        <v>1</v>
      </c>
      <c r="M50">
        <v>1125078.0245321523</v>
      </c>
      <c r="N50">
        <v>700168.93688588263</v>
      </c>
      <c r="O50">
        <f t="shared" si="7"/>
        <v>0</v>
      </c>
      <c r="P50">
        <f t="shared" si="8"/>
        <v>0</v>
      </c>
      <c r="Q50">
        <f t="shared" si="9"/>
        <v>1</v>
      </c>
      <c r="S50">
        <v>2.898064348541329E-2</v>
      </c>
      <c r="T50">
        <v>3.7113004948387179E-2</v>
      </c>
      <c r="U50">
        <f t="shared" si="0"/>
        <v>0</v>
      </c>
      <c r="V50">
        <f t="shared" si="10"/>
        <v>0</v>
      </c>
      <c r="W50">
        <f t="shared" si="1"/>
        <v>0</v>
      </c>
    </row>
    <row r="51" spans="1:23" x14ac:dyDescent="0.35">
      <c r="A51" s="1" t="s">
        <v>50</v>
      </c>
      <c r="B51">
        <v>23524.18285714286</v>
      </c>
      <c r="C51">
        <v>22699.875140780328</v>
      </c>
      <c r="D51">
        <f t="shared" si="2"/>
        <v>0</v>
      </c>
      <c r="F51">
        <v>630608.24856394739</v>
      </c>
      <c r="G51">
        <v>83338.673195853931</v>
      </c>
      <c r="H51">
        <f t="shared" si="3"/>
        <v>1</v>
      </c>
      <c r="I51">
        <f t="shared" si="4"/>
        <v>0</v>
      </c>
      <c r="J51">
        <f t="shared" si="5"/>
        <v>0</v>
      </c>
      <c r="K51">
        <f t="shared" si="6"/>
        <v>1</v>
      </c>
      <c r="M51">
        <v>204786.41862990809</v>
      </c>
      <c r="N51">
        <v>906721.02745666658</v>
      </c>
      <c r="O51">
        <f t="shared" si="7"/>
        <v>1</v>
      </c>
      <c r="P51">
        <f t="shared" si="8"/>
        <v>0</v>
      </c>
      <c r="Q51">
        <f t="shared" si="9"/>
        <v>0</v>
      </c>
      <c r="S51">
        <v>0.14179819350406553</v>
      </c>
      <c r="T51">
        <v>1.0485547670004224E-2</v>
      </c>
      <c r="U51">
        <f t="shared" si="0"/>
        <v>1</v>
      </c>
      <c r="V51">
        <f t="shared" si="10"/>
        <v>0</v>
      </c>
      <c r="W51">
        <f t="shared" si="1"/>
        <v>0</v>
      </c>
    </row>
    <row r="52" spans="1:23" x14ac:dyDescent="0.35">
      <c r="A52" s="1" t="s">
        <v>51</v>
      </c>
      <c r="B52">
        <v>201689.39696046649</v>
      </c>
      <c r="C52">
        <v>184117.0142018779</v>
      </c>
      <c r="D52">
        <f t="shared" si="2"/>
        <v>0</v>
      </c>
      <c r="F52">
        <v>248676.74547892719</v>
      </c>
      <c r="G52">
        <v>152939.2855236271</v>
      </c>
      <c r="H52">
        <f t="shared" si="3"/>
        <v>1</v>
      </c>
      <c r="I52">
        <f t="shared" si="4"/>
        <v>0</v>
      </c>
      <c r="J52">
        <f t="shared" si="5"/>
        <v>0</v>
      </c>
      <c r="K52">
        <f t="shared" si="6"/>
        <v>1</v>
      </c>
      <c r="M52">
        <v>694011.96804844122</v>
      </c>
      <c r="N52">
        <v>823407.73581072548</v>
      </c>
      <c r="O52">
        <f t="shared" si="7"/>
        <v>0</v>
      </c>
      <c r="P52">
        <f t="shared" si="8"/>
        <v>0</v>
      </c>
      <c r="Q52">
        <f t="shared" si="9"/>
        <v>1</v>
      </c>
      <c r="S52">
        <v>2.1800842016099064E-2</v>
      </c>
      <c r="T52">
        <v>1.2104687600162794E-2</v>
      </c>
      <c r="U52">
        <f t="shared" si="0"/>
        <v>1</v>
      </c>
      <c r="V52">
        <f t="shared" si="10"/>
        <v>1</v>
      </c>
      <c r="W52">
        <f t="shared" si="1"/>
        <v>0</v>
      </c>
    </row>
    <row r="53" spans="1:23" x14ac:dyDescent="0.35">
      <c r="A53" s="1" t="s">
        <v>52</v>
      </c>
      <c r="B53">
        <v>445388.13959293388</v>
      </c>
      <c r="C53">
        <v>505568.42722734262</v>
      </c>
      <c r="D53">
        <f t="shared" si="2"/>
        <v>1</v>
      </c>
      <c r="F53">
        <v>612533.10237283446</v>
      </c>
      <c r="G53">
        <v>220941.973958694</v>
      </c>
      <c r="H53">
        <f t="shared" si="3"/>
        <v>1</v>
      </c>
      <c r="I53">
        <f t="shared" si="4"/>
        <v>1</v>
      </c>
      <c r="J53">
        <f t="shared" si="5"/>
        <v>0</v>
      </c>
      <c r="K53">
        <f t="shared" si="6"/>
        <v>0</v>
      </c>
      <c r="M53">
        <v>1259407.5095036987</v>
      </c>
      <c r="N53">
        <v>2084755.0332768038</v>
      </c>
      <c r="O53">
        <f t="shared" si="7"/>
        <v>0</v>
      </c>
      <c r="P53">
        <f t="shared" si="8"/>
        <v>0</v>
      </c>
      <c r="Q53">
        <f t="shared" si="9"/>
        <v>0</v>
      </c>
      <c r="S53">
        <v>2.5267516102376954E-2</v>
      </c>
      <c r="T53">
        <v>5.4172392018040513E-2</v>
      </c>
      <c r="U53">
        <f t="shared" si="0"/>
        <v>0</v>
      </c>
      <c r="V53">
        <f t="shared" si="10"/>
        <v>0</v>
      </c>
      <c r="W53">
        <f t="shared" si="1"/>
        <v>0</v>
      </c>
    </row>
    <row r="54" spans="1:23" x14ac:dyDescent="0.35">
      <c r="A54" s="1" t="s">
        <v>53</v>
      </c>
      <c r="B54">
        <v>59153.90855457227</v>
      </c>
      <c r="C54">
        <v>61104.306704174604</v>
      </c>
      <c r="D54">
        <f t="shared" si="2"/>
        <v>1</v>
      </c>
      <c r="F54">
        <v>603143.83088235301</v>
      </c>
      <c r="G54">
        <v>168832.05575053551</v>
      </c>
      <c r="H54">
        <f t="shared" si="3"/>
        <v>1</v>
      </c>
      <c r="I54">
        <f t="shared" si="4"/>
        <v>1</v>
      </c>
      <c r="J54">
        <f t="shared" si="5"/>
        <v>0</v>
      </c>
      <c r="K54">
        <f t="shared" si="6"/>
        <v>0</v>
      </c>
      <c r="M54">
        <v>489444.3186321432</v>
      </c>
      <c r="N54">
        <v>1027854.0896091255</v>
      </c>
      <c r="O54">
        <f t="shared" si="7"/>
        <v>0</v>
      </c>
      <c r="P54">
        <f t="shared" si="8"/>
        <v>0</v>
      </c>
      <c r="Q54">
        <f t="shared" si="9"/>
        <v>0</v>
      </c>
      <c r="S54">
        <v>3.1953965616146614E-2</v>
      </c>
      <c r="T54">
        <v>2.8042781329373441E-2</v>
      </c>
      <c r="U54">
        <f t="shared" si="0"/>
        <v>1</v>
      </c>
      <c r="V54">
        <f t="shared" si="10"/>
        <v>0</v>
      </c>
      <c r="W54">
        <f t="shared" si="1"/>
        <v>0</v>
      </c>
    </row>
    <row r="55" spans="1:23" x14ac:dyDescent="0.35">
      <c r="A55" s="1" t="s">
        <v>54</v>
      </c>
      <c r="B55">
        <v>676154.8803732763</v>
      </c>
      <c r="C55">
        <v>429098.51351244259</v>
      </c>
      <c r="D55">
        <f t="shared" si="2"/>
        <v>0</v>
      </c>
      <c r="F55">
        <v>688560.79491277959</v>
      </c>
      <c r="G55">
        <v>381782.17231486458</v>
      </c>
      <c r="H55">
        <f t="shared" si="3"/>
        <v>1</v>
      </c>
      <c r="I55">
        <f t="shared" si="4"/>
        <v>0</v>
      </c>
      <c r="J55">
        <f t="shared" si="5"/>
        <v>0</v>
      </c>
      <c r="K55">
        <f t="shared" si="6"/>
        <v>1</v>
      </c>
      <c r="M55">
        <v>1857198.7839986747</v>
      </c>
      <c r="N55">
        <v>2064008.474706253</v>
      </c>
      <c r="O55">
        <f t="shared" si="7"/>
        <v>0</v>
      </c>
      <c r="P55">
        <f t="shared" si="8"/>
        <v>0</v>
      </c>
      <c r="Q55">
        <f t="shared" si="9"/>
        <v>1</v>
      </c>
      <c r="S55">
        <v>9.2851209656865403E-3</v>
      </c>
      <c r="T55">
        <v>1.6450783153849197E-2</v>
      </c>
      <c r="U55">
        <f t="shared" si="0"/>
        <v>0</v>
      </c>
      <c r="V55">
        <f t="shared" si="10"/>
        <v>0</v>
      </c>
      <c r="W55">
        <f t="shared" si="1"/>
        <v>0</v>
      </c>
    </row>
    <row r="56" spans="1:23" x14ac:dyDescent="0.35">
      <c r="A56" s="1" t="s">
        <v>55</v>
      </c>
      <c r="B56">
        <v>741553.94685754436</v>
      </c>
      <c r="C56">
        <v>382068.13912577782</v>
      </c>
      <c r="D56">
        <f t="shared" si="2"/>
        <v>0</v>
      </c>
      <c r="F56">
        <v>643401.23820950394</v>
      </c>
      <c r="G56">
        <v>413607.23855199089</v>
      </c>
      <c r="H56">
        <f t="shared" si="3"/>
        <v>1</v>
      </c>
      <c r="I56">
        <f t="shared" si="4"/>
        <v>0</v>
      </c>
      <c r="J56">
        <f t="shared" si="5"/>
        <v>0</v>
      </c>
      <c r="K56">
        <f t="shared" si="6"/>
        <v>1</v>
      </c>
      <c r="M56">
        <v>1932226.5086416253</v>
      </c>
      <c r="N56">
        <v>1783539.8495653202</v>
      </c>
      <c r="O56">
        <f t="shared" si="7"/>
        <v>0</v>
      </c>
      <c r="P56">
        <f t="shared" si="8"/>
        <v>0</v>
      </c>
      <c r="Q56">
        <f t="shared" si="9"/>
        <v>1</v>
      </c>
      <c r="S56">
        <v>1.7397371929427245E-2</v>
      </c>
      <c r="T56">
        <v>2.6649213099770072E-2</v>
      </c>
      <c r="U56">
        <f t="shared" si="0"/>
        <v>0</v>
      </c>
      <c r="V56">
        <f t="shared" si="10"/>
        <v>0</v>
      </c>
      <c r="W56">
        <f t="shared" si="1"/>
        <v>0</v>
      </c>
    </row>
    <row r="57" spans="1:23" x14ac:dyDescent="0.35">
      <c r="A57" s="1" t="s">
        <v>56</v>
      </c>
      <c r="B57">
        <v>1703.934782608696</v>
      </c>
      <c r="C57">
        <v>13982.32197095302</v>
      </c>
      <c r="D57">
        <f t="shared" si="2"/>
        <v>1</v>
      </c>
      <c r="F57">
        <v>46463.989185645267</v>
      </c>
      <c r="G57">
        <v>2687.3449417701859</v>
      </c>
      <c r="H57">
        <f t="shared" si="3"/>
        <v>1</v>
      </c>
      <c r="I57">
        <f t="shared" si="4"/>
        <v>1</v>
      </c>
      <c r="J57">
        <f t="shared" si="5"/>
        <v>0</v>
      </c>
      <c r="K57">
        <f t="shared" si="6"/>
        <v>0</v>
      </c>
      <c r="M57">
        <v>8019.0551549688898</v>
      </c>
      <c r="N57">
        <v>81204.149095555418</v>
      </c>
      <c r="O57">
        <f t="shared" si="7"/>
        <v>0</v>
      </c>
      <c r="P57">
        <f t="shared" si="8"/>
        <v>0</v>
      </c>
      <c r="Q57">
        <f t="shared" si="9"/>
        <v>0</v>
      </c>
      <c r="S57">
        <v>2.7962037114613814E-2</v>
      </c>
      <c r="T57">
        <v>2.6822661599811483E-2</v>
      </c>
      <c r="U57">
        <f t="shared" si="0"/>
        <v>1</v>
      </c>
      <c r="V57">
        <f t="shared" si="10"/>
        <v>0</v>
      </c>
      <c r="W57">
        <f t="shared" si="1"/>
        <v>0</v>
      </c>
    </row>
    <row r="58" spans="1:23" x14ac:dyDescent="0.35">
      <c r="A58" s="1" t="s">
        <v>57</v>
      </c>
      <c r="B58">
        <v>728253.33550616051</v>
      </c>
      <c r="C58">
        <v>219587.3740419668</v>
      </c>
      <c r="D58">
        <f t="shared" si="2"/>
        <v>0</v>
      </c>
      <c r="F58">
        <v>366588.06323006318</v>
      </c>
      <c r="G58">
        <v>477180.87987760571</v>
      </c>
      <c r="H58">
        <f t="shared" si="3"/>
        <v>0</v>
      </c>
      <c r="I58">
        <f t="shared" si="4"/>
        <v>0</v>
      </c>
      <c r="J58">
        <f t="shared" si="5"/>
        <v>1</v>
      </c>
      <c r="K58">
        <f t="shared" si="6"/>
        <v>0</v>
      </c>
      <c r="M58">
        <v>2158116.1951458063</v>
      </c>
      <c r="N58">
        <v>1040516.2046810491</v>
      </c>
      <c r="O58">
        <f t="shared" si="7"/>
        <v>0</v>
      </c>
      <c r="P58">
        <f t="shared" si="8"/>
        <v>0</v>
      </c>
      <c r="Q58">
        <f t="shared" si="9"/>
        <v>0</v>
      </c>
      <c r="S58">
        <v>4.1372073516054E-2</v>
      </c>
      <c r="T58">
        <v>3.8185821129109919E-2</v>
      </c>
      <c r="U58">
        <f t="shared" si="0"/>
        <v>1</v>
      </c>
      <c r="V58">
        <f t="shared" si="10"/>
        <v>0</v>
      </c>
      <c r="W58">
        <f t="shared" si="1"/>
        <v>0</v>
      </c>
    </row>
    <row r="59" spans="1:23" x14ac:dyDescent="0.35">
      <c r="A59" s="1" t="s">
        <v>58</v>
      </c>
      <c r="B59">
        <v>619547.94351204345</v>
      </c>
      <c r="C59">
        <v>301607.15301735298</v>
      </c>
      <c r="D59">
        <f t="shared" si="2"/>
        <v>0</v>
      </c>
      <c r="F59">
        <v>472141.38501959387</v>
      </c>
      <c r="G59">
        <v>290250.62493666628</v>
      </c>
      <c r="H59">
        <f t="shared" si="3"/>
        <v>1</v>
      </c>
      <c r="I59">
        <f t="shared" si="4"/>
        <v>0</v>
      </c>
      <c r="J59">
        <f t="shared" si="5"/>
        <v>0</v>
      </c>
      <c r="K59">
        <f t="shared" si="6"/>
        <v>1</v>
      </c>
      <c r="M59">
        <v>1525640.6198069649</v>
      </c>
      <c r="N59">
        <v>1428600.308906497</v>
      </c>
      <c r="O59">
        <f t="shared" si="7"/>
        <v>0</v>
      </c>
      <c r="P59">
        <f t="shared" si="8"/>
        <v>0</v>
      </c>
      <c r="Q59">
        <f t="shared" si="9"/>
        <v>1</v>
      </c>
      <c r="S59">
        <v>1.1930473273983113E-2</v>
      </c>
      <c r="T59">
        <v>3.7416622189769072E-2</v>
      </c>
      <c r="U59">
        <f t="shared" si="0"/>
        <v>0</v>
      </c>
      <c r="V59">
        <f t="shared" si="10"/>
        <v>0</v>
      </c>
      <c r="W59">
        <f t="shared" si="1"/>
        <v>0</v>
      </c>
    </row>
    <row r="60" spans="1:23" x14ac:dyDescent="0.35">
      <c r="A60" s="1" t="s">
        <v>59</v>
      </c>
      <c r="B60">
        <v>537009.88206722692</v>
      </c>
      <c r="C60">
        <v>366425.57214845938</v>
      </c>
      <c r="D60">
        <f t="shared" si="2"/>
        <v>0</v>
      </c>
      <c r="F60">
        <v>475322.22869908559</v>
      </c>
      <c r="G60">
        <v>273068.09447287268</v>
      </c>
      <c r="H60">
        <f t="shared" si="3"/>
        <v>1</v>
      </c>
      <c r="I60">
        <f t="shared" si="4"/>
        <v>0</v>
      </c>
      <c r="J60">
        <f t="shared" si="5"/>
        <v>0</v>
      </c>
      <c r="K60">
        <f t="shared" si="6"/>
        <v>1</v>
      </c>
      <c r="M60">
        <v>1473255.8144609532</v>
      </c>
      <c r="N60">
        <v>1564330.6056324891</v>
      </c>
      <c r="O60">
        <f t="shared" si="7"/>
        <v>0</v>
      </c>
      <c r="P60">
        <f t="shared" si="8"/>
        <v>0</v>
      </c>
      <c r="Q60">
        <f t="shared" si="9"/>
        <v>1</v>
      </c>
      <c r="S60">
        <v>1.2013202107745488E-2</v>
      </c>
      <c r="T60">
        <v>4.0703128241775181E-2</v>
      </c>
      <c r="U60">
        <f t="shared" si="0"/>
        <v>0</v>
      </c>
      <c r="V60">
        <f t="shared" si="10"/>
        <v>0</v>
      </c>
      <c r="W60">
        <f t="shared" si="1"/>
        <v>0</v>
      </c>
    </row>
    <row r="61" spans="1:23" x14ac:dyDescent="0.35">
      <c r="A61" s="1" t="s">
        <v>60</v>
      </c>
      <c r="B61">
        <v>632540.63892431976</v>
      </c>
      <c r="C61">
        <v>54242.204241071428</v>
      </c>
      <c r="D61">
        <f t="shared" si="2"/>
        <v>0</v>
      </c>
      <c r="F61">
        <v>62457.743156199678</v>
      </c>
      <c r="G61">
        <v>119776.7366173802</v>
      </c>
      <c r="H61">
        <f t="shared" si="3"/>
        <v>0</v>
      </c>
      <c r="I61">
        <f t="shared" si="4"/>
        <v>0</v>
      </c>
      <c r="J61">
        <f t="shared" si="5"/>
        <v>1</v>
      </c>
      <c r="K61">
        <f t="shared" si="6"/>
        <v>0</v>
      </c>
      <c r="M61">
        <v>1161971.1021664026</v>
      </c>
      <c r="N61">
        <v>204032.04347886049</v>
      </c>
      <c r="O61">
        <f t="shared" si="7"/>
        <v>0</v>
      </c>
      <c r="P61">
        <f t="shared" si="8"/>
        <v>0</v>
      </c>
      <c r="Q61">
        <f t="shared" si="9"/>
        <v>0</v>
      </c>
      <c r="S61">
        <v>3.0347614041250959E-2</v>
      </c>
      <c r="T61">
        <v>6.6541495950289048E-2</v>
      </c>
      <c r="U61">
        <f t="shared" si="0"/>
        <v>0</v>
      </c>
      <c r="V61">
        <f t="shared" si="10"/>
        <v>0</v>
      </c>
      <c r="W61">
        <f t="shared" si="1"/>
        <v>0</v>
      </c>
    </row>
    <row r="62" spans="1:23" x14ac:dyDescent="0.35">
      <c r="A62" s="1" t="s">
        <v>61</v>
      </c>
      <c r="B62">
        <v>440195.80039920157</v>
      </c>
      <c r="C62">
        <v>342540.69523730321</v>
      </c>
      <c r="D62">
        <f t="shared" si="2"/>
        <v>0</v>
      </c>
      <c r="F62">
        <v>529628.72102067922</v>
      </c>
      <c r="G62">
        <v>270564.35928192001</v>
      </c>
      <c r="H62">
        <f t="shared" si="3"/>
        <v>1</v>
      </c>
      <c r="I62">
        <f t="shared" si="4"/>
        <v>0</v>
      </c>
      <c r="J62">
        <f t="shared" si="5"/>
        <v>0</v>
      </c>
      <c r="K62">
        <f t="shared" si="6"/>
        <v>1</v>
      </c>
      <c r="M62">
        <v>1184867.1916074371</v>
      </c>
      <c r="N62">
        <v>1452851.1262839753</v>
      </c>
      <c r="O62">
        <f t="shared" si="7"/>
        <v>0</v>
      </c>
      <c r="P62">
        <f t="shared" si="8"/>
        <v>0</v>
      </c>
      <c r="Q62">
        <f t="shared" si="9"/>
        <v>1</v>
      </c>
      <c r="S62">
        <v>2.7344115044388405E-2</v>
      </c>
      <c r="T62">
        <v>2.2035843062343401E-2</v>
      </c>
      <c r="U62">
        <f t="shared" si="0"/>
        <v>1</v>
      </c>
      <c r="V62">
        <f t="shared" si="10"/>
        <v>1</v>
      </c>
      <c r="W62">
        <f t="shared" si="1"/>
        <v>0</v>
      </c>
    </row>
    <row r="63" spans="1:23" x14ac:dyDescent="0.35">
      <c r="A63" s="1" t="s">
        <v>62</v>
      </c>
      <c r="B63">
        <v>284509.5009765625</v>
      </c>
      <c r="C63">
        <v>200232.22903252349</v>
      </c>
      <c r="D63">
        <f t="shared" si="2"/>
        <v>0</v>
      </c>
      <c r="F63">
        <v>364079.279757326</v>
      </c>
      <c r="G63">
        <v>189542.0692551893</v>
      </c>
      <c r="H63">
        <f t="shared" si="3"/>
        <v>1</v>
      </c>
      <c r="I63">
        <f t="shared" si="4"/>
        <v>0</v>
      </c>
      <c r="J63">
        <f t="shared" si="5"/>
        <v>0</v>
      </c>
      <c r="K63">
        <f t="shared" si="6"/>
        <v>1</v>
      </c>
      <c r="M63">
        <v>842378.87658924481</v>
      </c>
      <c r="N63">
        <v>975866.94187971263</v>
      </c>
      <c r="O63">
        <f t="shared" si="7"/>
        <v>0</v>
      </c>
      <c r="P63">
        <f t="shared" si="8"/>
        <v>0</v>
      </c>
      <c r="Q63">
        <f t="shared" si="9"/>
        <v>1</v>
      </c>
      <c r="S63">
        <v>1.5085901353651359E-2</v>
      </c>
      <c r="T63">
        <v>2.7606008293999021E-2</v>
      </c>
      <c r="U63">
        <f t="shared" si="0"/>
        <v>0</v>
      </c>
      <c r="V63">
        <f t="shared" si="10"/>
        <v>0</v>
      </c>
      <c r="W63">
        <f t="shared" si="1"/>
        <v>0</v>
      </c>
    </row>
    <row r="64" spans="1:23" x14ac:dyDescent="0.35">
      <c r="A64" s="1" t="s">
        <v>63</v>
      </c>
      <c r="B64">
        <v>786307.67097839131</v>
      </c>
      <c r="C64">
        <v>343471.51938275312</v>
      </c>
      <c r="D64">
        <f t="shared" si="2"/>
        <v>0</v>
      </c>
      <c r="F64">
        <v>481436.61585477408</v>
      </c>
      <c r="G64">
        <v>360479.07208404801</v>
      </c>
      <c r="H64">
        <f t="shared" si="3"/>
        <v>1</v>
      </c>
      <c r="I64">
        <f t="shared" si="4"/>
        <v>0</v>
      </c>
      <c r="J64">
        <f t="shared" si="5"/>
        <v>0</v>
      </c>
      <c r="K64">
        <f t="shared" si="6"/>
        <v>1</v>
      </c>
      <c r="M64">
        <v>1876936.6430200515</v>
      </c>
      <c r="N64">
        <v>1525567.4352360186</v>
      </c>
      <c r="O64">
        <f t="shared" si="7"/>
        <v>0</v>
      </c>
      <c r="P64">
        <f t="shared" si="8"/>
        <v>0</v>
      </c>
      <c r="Q64">
        <f t="shared" si="9"/>
        <v>1</v>
      </c>
      <c r="S64">
        <v>2.4347726280471312E-3</v>
      </c>
      <c r="T64">
        <v>4.2391640885056023E-3</v>
      </c>
      <c r="U64">
        <f t="shared" si="0"/>
        <v>0</v>
      </c>
      <c r="V64">
        <f t="shared" si="10"/>
        <v>0</v>
      </c>
      <c r="W64">
        <f t="shared" si="1"/>
        <v>0</v>
      </c>
    </row>
    <row r="65" spans="1:23" x14ac:dyDescent="0.35">
      <c r="A65" s="1" t="s">
        <v>64</v>
      </c>
      <c r="B65">
        <v>85.32</v>
      </c>
      <c r="C65">
        <v>12286.72173306217</v>
      </c>
      <c r="D65">
        <f t="shared" si="2"/>
        <v>1</v>
      </c>
      <c r="F65">
        <v>1420229.976207898</v>
      </c>
      <c r="G65">
        <v>1483.8423912535841</v>
      </c>
      <c r="H65">
        <f t="shared" si="3"/>
        <v>1</v>
      </c>
      <c r="I65">
        <f t="shared" si="4"/>
        <v>1</v>
      </c>
      <c r="J65">
        <f t="shared" si="5"/>
        <v>0</v>
      </c>
      <c r="K65">
        <f t="shared" si="6"/>
        <v>0</v>
      </c>
      <c r="M65">
        <v>3771.9016861761424</v>
      </c>
      <c r="N65">
        <v>2411705.4616745589</v>
      </c>
      <c r="O65">
        <f t="shared" si="7"/>
        <v>0</v>
      </c>
      <c r="P65">
        <f t="shared" si="8"/>
        <v>0</v>
      </c>
      <c r="Q65">
        <f t="shared" si="9"/>
        <v>0</v>
      </c>
      <c r="S65">
        <v>6.3241220548064719E-2</v>
      </c>
      <c r="T65">
        <v>2.9858168600412384E-3</v>
      </c>
      <c r="U65">
        <f t="shared" si="0"/>
        <v>1</v>
      </c>
      <c r="V65">
        <f t="shared" si="10"/>
        <v>0</v>
      </c>
      <c r="W65">
        <f t="shared" si="1"/>
        <v>0</v>
      </c>
    </row>
    <row r="66" spans="1:23" x14ac:dyDescent="0.35">
      <c r="A66" s="1" t="s">
        <v>65</v>
      </c>
      <c r="B66">
        <v>1240.407026143791</v>
      </c>
      <c r="C66">
        <v>8461.6966911764703</v>
      </c>
      <c r="D66">
        <f t="shared" si="2"/>
        <v>1</v>
      </c>
      <c r="F66">
        <v>298743.59960573481</v>
      </c>
      <c r="G66">
        <v>1786.6307347670249</v>
      </c>
      <c r="H66">
        <f t="shared" si="3"/>
        <v>1</v>
      </c>
      <c r="I66">
        <f t="shared" si="4"/>
        <v>1</v>
      </c>
      <c r="J66">
        <f t="shared" si="5"/>
        <v>0</v>
      </c>
      <c r="K66">
        <f t="shared" si="6"/>
        <v>0</v>
      </c>
      <c r="M66">
        <v>4474.2112247626683</v>
      </c>
      <c r="N66">
        <v>308507.60129169561</v>
      </c>
      <c r="O66">
        <f t="shared" si="7"/>
        <v>0</v>
      </c>
      <c r="P66">
        <f t="shared" si="8"/>
        <v>0</v>
      </c>
      <c r="Q66">
        <f t="shared" si="9"/>
        <v>0</v>
      </c>
      <c r="S66">
        <v>7.8954275982056163E-2</v>
      </c>
      <c r="T66">
        <v>2.2818513392964493E-2</v>
      </c>
      <c r="U66">
        <f t="shared" si="0"/>
        <v>1</v>
      </c>
      <c r="V66">
        <f t="shared" si="10"/>
        <v>0</v>
      </c>
      <c r="W66">
        <f t="shared" si="1"/>
        <v>0</v>
      </c>
    </row>
    <row r="67" spans="1:23" x14ac:dyDescent="0.35">
      <c r="A67" s="1" t="s">
        <v>66</v>
      </c>
      <c r="B67">
        <v>24252.651594896332</v>
      </c>
      <c r="C67">
        <v>134270.18169768431</v>
      </c>
      <c r="D67">
        <f t="shared" si="2"/>
        <v>1</v>
      </c>
      <c r="F67">
        <v>717925.21554730996</v>
      </c>
      <c r="G67">
        <v>32153.15183003504</v>
      </c>
      <c r="H67">
        <f t="shared" si="3"/>
        <v>1</v>
      </c>
      <c r="I67">
        <f t="shared" si="4"/>
        <v>1</v>
      </c>
      <c r="J67">
        <f t="shared" si="5"/>
        <v>0</v>
      </c>
      <c r="K67">
        <f t="shared" si="6"/>
        <v>0</v>
      </c>
      <c r="M67">
        <v>103164.35635134949</v>
      </c>
      <c r="N67">
        <v>1152686.2235075734</v>
      </c>
      <c r="O67">
        <f t="shared" si="7"/>
        <v>0</v>
      </c>
      <c r="P67">
        <f t="shared" si="8"/>
        <v>0</v>
      </c>
      <c r="Q67">
        <f t="shared" si="9"/>
        <v>0</v>
      </c>
      <c r="S67">
        <v>3.676752635122002E-2</v>
      </c>
      <c r="T67">
        <v>2.1404366098443726E-2</v>
      </c>
      <c r="U67">
        <f t="shared" ref="U67:U102" si="11">IF(S67&gt;T67,1,0)</f>
        <v>1</v>
      </c>
      <c r="V67">
        <f t="shared" si="10"/>
        <v>0</v>
      </c>
      <c r="W67">
        <f t="shared" ref="W67:W102" si="12">IF(AND(P67=1, S67&lt;T67),1,0)</f>
        <v>0</v>
      </c>
    </row>
    <row r="68" spans="1:23" x14ac:dyDescent="0.35">
      <c r="A68" s="1" t="s">
        <v>67</v>
      </c>
      <c r="B68">
        <v>619216.33892277116</v>
      </c>
      <c r="C68">
        <v>427009.48990765627</v>
      </c>
      <c r="D68">
        <f t="shared" ref="D68:D102" si="13">IF(B68&lt;C68,1,0)</f>
        <v>0</v>
      </c>
      <c r="F68">
        <v>483652.4764049417</v>
      </c>
      <c r="G68">
        <v>390356.80991581897</v>
      </c>
      <c r="H68">
        <f t="shared" ref="H68:H102" si="14">IF(F68&gt;G68,1,0)</f>
        <v>1</v>
      </c>
      <c r="I68">
        <f t="shared" ref="I68:I102" si="15">IF(D68+H68=2,1,0)</f>
        <v>0</v>
      </c>
      <c r="J68">
        <f t="shared" ref="J68:J102" si="16">IF(D68+H68=0,1,0)</f>
        <v>0</v>
      </c>
      <c r="K68">
        <f t="shared" ref="K68:K102" si="17">IF(D68+H68=1,1,0)</f>
        <v>1</v>
      </c>
      <c r="M68">
        <v>1773611.7932715509</v>
      </c>
      <c r="N68">
        <v>1575509.2185240141</v>
      </c>
      <c r="O68">
        <f t="shared" ref="O68:O102" si="18">IF(AND(K68=1, (N68-M68) &gt;M68*0.75),1,0)</f>
        <v>0</v>
      </c>
      <c r="P68">
        <f t="shared" ref="P68:P102" si="19">IF(AND(K68=1, (M68-N68) &gt;N68*0.75),1,0)</f>
        <v>0</v>
      </c>
      <c r="Q68">
        <f t="shared" ref="Q68:Q102" si="20">IF(AND(K68=1, O68+P68=0),1,0)</f>
        <v>1</v>
      </c>
      <c r="S68">
        <v>2.8111779806841229E-2</v>
      </c>
      <c r="T68">
        <v>2.0063595087803407E-2</v>
      </c>
      <c r="U68">
        <f t="shared" si="11"/>
        <v>1</v>
      </c>
      <c r="V68">
        <f t="shared" ref="V68:V102" si="21">IF(AND(Q68=1, S68&gt;T68),1,0)</f>
        <v>1</v>
      </c>
      <c r="W68">
        <f t="shared" si="12"/>
        <v>0</v>
      </c>
    </row>
    <row r="69" spans="1:23" x14ac:dyDescent="0.35">
      <c r="A69" s="1" t="s">
        <v>68</v>
      </c>
      <c r="B69">
        <v>478452.91079438728</v>
      </c>
      <c r="C69">
        <v>379490.58444554929</v>
      </c>
      <c r="D69">
        <f t="shared" si="13"/>
        <v>0</v>
      </c>
      <c r="F69">
        <v>584079.44024625421</v>
      </c>
      <c r="G69">
        <v>309480.02303905209</v>
      </c>
      <c r="H69">
        <f t="shared" si="14"/>
        <v>1</v>
      </c>
      <c r="I69">
        <f t="shared" si="15"/>
        <v>0</v>
      </c>
      <c r="J69">
        <f t="shared" si="16"/>
        <v>0</v>
      </c>
      <c r="K69">
        <f t="shared" si="17"/>
        <v>1</v>
      </c>
      <c r="M69">
        <v>1448420.7444955513</v>
      </c>
      <c r="N69">
        <v>1693785.7487775516</v>
      </c>
      <c r="O69">
        <f t="shared" si="18"/>
        <v>0</v>
      </c>
      <c r="P69">
        <f t="shared" si="19"/>
        <v>0</v>
      </c>
      <c r="Q69">
        <f t="shared" si="20"/>
        <v>1</v>
      </c>
      <c r="S69">
        <v>4.5724756001047327E-2</v>
      </c>
      <c r="T69">
        <v>6.5601294863935858E-2</v>
      </c>
      <c r="U69">
        <f t="shared" si="11"/>
        <v>0</v>
      </c>
      <c r="V69">
        <f t="shared" si="21"/>
        <v>0</v>
      </c>
      <c r="W69">
        <f t="shared" si="12"/>
        <v>0</v>
      </c>
    </row>
    <row r="70" spans="1:23" x14ac:dyDescent="0.35">
      <c r="A70" s="1" t="s">
        <v>69</v>
      </c>
      <c r="B70">
        <v>1120762.280070412</v>
      </c>
      <c r="C70">
        <v>1160504.2408663619</v>
      </c>
      <c r="D70">
        <f t="shared" si="13"/>
        <v>1</v>
      </c>
      <c r="F70">
        <v>1403822.093806677</v>
      </c>
      <c r="G70">
        <v>577940.68870773166</v>
      </c>
      <c r="H70">
        <f t="shared" si="14"/>
        <v>1</v>
      </c>
      <c r="I70">
        <f t="shared" si="15"/>
        <v>1</v>
      </c>
      <c r="J70">
        <f t="shared" si="16"/>
        <v>0</v>
      </c>
      <c r="K70">
        <f t="shared" si="17"/>
        <v>0</v>
      </c>
      <c r="M70">
        <v>2905604.5342896283</v>
      </c>
      <c r="N70">
        <v>5071046.7240449712</v>
      </c>
      <c r="O70">
        <f t="shared" si="18"/>
        <v>0</v>
      </c>
      <c r="P70">
        <f t="shared" si="19"/>
        <v>0</v>
      </c>
      <c r="Q70">
        <f t="shared" si="20"/>
        <v>0</v>
      </c>
      <c r="S70">
        <v>4.5856237767051097E-2</v>
      </c>
      <c r="T70">
        <v>4.4261233623655728E-2</v>
      </c>
      <c r="U70">
        <f t="shared" si="11"/>
        <v>1</v>
      </c>
      <c r="V70">
        <f t="shared" si="21"/>
        <v>0</v>
      </c>
      <c r="W70">
        <f t="shared" si="12"/>
        <v>0</v>
      </c>
    </row>
    <row r="71" spans="1:23" x14ac:dyDescent="0.35">
      <c r="A71" s="1" t="s">
        <v>70</v>
      </c>
      <c r="B71">
        <v>526184.94715417572</v>
      </c>
      <c r="C71">
        <v>343424.56110033148</v>
      </c>
      <c r="D71">
        <f t="shared" si="13"/>
        <v>0</v>
      </c>
      <c r="F71">
        <v>22997.5</v>
      </c>
      <c r="G71">
        <v>9356.5071375682655</v>
      </c>
      <c r="H71">
        <f t="shared" si="14"/>
        <v>1</v>
      </c>
      <c r="I71">
        <f t="shared" si="15"/>
        <v>0</v>
      </c>
      <c r="J71">
        <f t="shared" si="16"/>
        <v>0</v>
      </c>
      <c r="K71">
        <f t="shared" si="17"/>
        <v>1</v>
      </c>
      <c r="M71">
        <v>649992.98912061809</v>
      </c>
      <c r="N71">
        <v>807326.42077727953</v>
      </c>
      <c r="O71">
        <f t="shared" si="18"/>
        <v>0</v>
      </c>
      <c r="P71">
        <f t="shared" si="19"/>
        <v>0</v>
      </c>
      <c r="Q71">
        <f t="shared" si="20"/>
        <v>1</v>
      </c>
      <c r="S71">
        <v>1.5895059701859005E-2</v>
      </c>
      <c r="T71">
        <v>3.8955819828590248E-2</v>
      </c>
      <c r="U71">
        <f t="shared" si="11"/>
        <v>0</v>
      </c>
      <c r="V71">
        <f t="shared" si="21"/>
        <v>0</v>
      </c>
      <c r="W71">
        <f t="shared" si="12"/>
        <v>0</v>
      </c>
    </row>
    <row r="72" spans="1:23" x14ac:dyDescent="0.35">
      <c r="A72" s="1" t="s">
        <v>71</v>
      </c>
      <c r="B72">
        <v>3087.382949308756</v>
      </c>
      <c r="C72">
        <v>25903.435071616561</v>
      </c>
      <c r="D72">
        <f t="shared" si="13"/>
        <v>1</v>
      </c>
      <c r="F72">
        <v>192543.55219401349</v>
      </c>
      <c r="G72">
        <v>7402.4450086193383</v>
      </c>
      <c r="H72">
        <f t="shared" si="14"/>
        <v>1</v>
      </c>
      <c r="I72">
        <f t="shared" si="15"/>
        <v>1</v>
      </c>
      <c r="J72">
        <f t="shared" si="16"/>
        <v>0</v>
      </c>
      <c r="K72">
        <f t="shared" si="17"/>
        <v>0</v>
      </c>
      <c r="M72">
        <v>19894.51710385847</v>
      </c>
      <c r="N72">
        <v>260743.81589684478</v>
      </c>
      <c r="O72">
        <f t="shared" si="18"/>
        <v>0</v>
      </c>
      <c r="P72">
        <f t="shared" si="19"/>
        <v>0</v>
      </c>
      <c r="Q72">
        <f t="shared" si="20"/>
        <v>0</v>
      </c>
      <c r="S72">
        <v>1.0403475120977048E-2</v>
      </c>
      <c r="T72">
        <v>1.0294605844586151E-2</v>
      </c>
      <c r="U72">
        <f t="shared" si="11"/>
        <v>1</v>
      </c>
      <c r="V72">
        <f t="shared" si="21"/>
        <v>0</v>
      </c>
      <c r="W72">
        <f t="shared" si="12"/>
        <v>0</v>
      </c>
    </row>
    <row r="73" spans="1:23" x14ac:dyDescent="0.35">
      <c r="A73" s="1" t="s">
        <v>72</v>
      </c>
      <c r="B73">
        <v>21349.087287663599</v>
      </c>
      <c r="C73">
        <v>342447.30833568302</v>
      </c>
      <c r="D73">
        <f t="shared" si="13"/>
        <v>1</v>
      </c>
      <c r="F73">
        <v>883773.35205934267</v>
      </c>
      <c r="G73">
        <v>16970.79213601186</v>
      </c>
      <c r="H73">
        <f t="shared" si="14"/>
        <v>1</v>
      </c>
      <c r="I73">
        <f t="shared" si="15"/>
        <v>1</v>
      </c>
      <c r="J73">
        <f t="shared" si="16"/>
        <v>0</v>
      </c>
      <c r="K73">
        <f t="shared" si="17"/>
        <v>0</v>
      </c>
      <c r="M73">
        <v>67434.603317582936</v>
      </c>
      <c r="N73">
        <v>2100213.550055474</v>
      </c>
      <c r="O73">
        <f t="shared" si="18"/>
        <v>0</v>
      </c>
      <c r="P73">
        <f t="shared" si="19"/>
        <v>0</v>
      </c>
      <c r="Q73">
        <f t="shared" si="20"/>
        <v>0</v>
      </c>
      <c r="S73">
        <v>1.8478048155299537E-3</v>
      </c>
      <c r="T73">
        <v>2.537093856172842E-2</v>
      </c>
      <c r="U73">
        <f t="shared" si="11"/>
        <v>0</v>
      </c>
      <c r="V73">
        <f t="shared" si="21"/>
        <v>0</v>
      </c>
      <c r="W73">
        <f t="shared" si="12"/>
        <v>0</v>
      </c>
    </row>
    <row r="74" spans="1:23" x14ac:dyDescent="0.35">
      <c r="A74" s="1" t="s">
        <v>73</v>
      </c>
      <c r="B74">
        <v>847909.61887281248</v>
      </c>
      <c r="C74">
        <v>386129.92797970108</v>
      </c>
      <c r="D74">
        <f t="shared" si="13"/>
        <v>0</v>
      </c>
      <c r="F74">
        <v>619961.35466315562</v>
      </c>
      <c r="G74">
        <v>498842.02911272028</v>
      </c>
      <c r="H74">
        <f t="shared" si="14"/>
        <v>1</v>
      </c>
      <c r="I74">
        <f t="shared" si="15"/>
        <v>0</v>
      </c>
      <c r="J74">
        <f t="shared" si="16"/>
        <v>0</v>
      </c>
      <c r="K74">
        <f t="shared" si="17"/>
        <v>1</v>
      </c>
      <c r="M74">
        <v>2362879.5522294994</v>
      </c>
      <c r="N74">
        <v>1653839.210662524</v>
      </c>
      <c r="O74">
        <f t="shared" si="18"/>
        <v>0</v>
      </c>
      <c r="P74">
        <f t="shared" si="19"/>
        <v>0</v>
      </c>
      <c r="Q74">
        <f t="shared" si="20"/>
        <v>1</v>
      </c>
      <c r="S74">
        <v>2.513976356216709E-2</v>
      </c>
      <c r="T74">
        <v>3.5380451586903693E-2</v>
      </c>
      <c r="U74">
        <f t="shared" si="11"/>
        <v>0</v>
      </c>
      <c r="V74">
        <f t="shared" si="21"/>
        <v>0</v>
      </c>
      <c r="W74">
        <f t="shared" si="12"/>
        <v>0</v>
      </c>
    </row>
    <row r="75" spans="1:23" x14ac:dyDescent="0.35">
      <c r="A75" s="1" t="s">
        <v>74</v>
      </c>
      <c r="B75">
        <v>1020372.530326443</v>
      </c>
      <c r="C75">
        <v>334088.15457258839</v>
      </c>
      <c r="D75">
        <f t="shared" si="13"/>
        <v>0</v>
      </c>
      <c r="F75">
        <v>496580.31346275582</v>
      </c>
      <c r="G75">
        <v>602870.28868901078</v>
      </c>
      <c r="H75">
        <f t="shared" si="14"/>
        <v>0</v>
      </c>
      <c r="I75">
        <f t="shared" si="15"/>
        <v>0</v>
      </c>
      <c r="J75">
        <f t="shared" si="16"/>
        <v>1</v>
      </c>
      <c r="K75">
        <f t="shared" si="17"/>
        <v>0</v>
      </c>
      <c r="M75">
        <v>2867214.966935412</v>
      </c>
      <c r="N75">
        <v>1500768.6824445757</v>
      </c>
      <c r="O75">
        <f t="shared" si="18"/>
        <v>0</v>
      </c>
      <c r="P75">
        <f t="shared" si="19"/>
        <v>0</v>
      </c>
      <c r="Q75">
        <f t="shared" si="20"/>
        <v>0</v>
      </c>
      <c r="S75">
        <v>2.9362211024802742E-2</v>
      </c>
      <c r="T75">
        <v>1.4272762786084659E-2</v>
      </c>
      <c r="U75">
        <f t="shared" si="11"/>
        <v>1</v>
      </c>
      <c r="V75">
        <f t="shared" si="21"/>
        <v>0</v>
      </c>
      <c r="W75">
        <f t="shared" si="12"/>
        <v>0</v>
      </c>
    </row>
    <row r="76" spans="1:23" x14ac:dyDescent="0.35">
      <c r="A76" s="1" t="s">
        <v>75</v>
      </c>
      <c r="B76">
        <v>516765.05987654318</v>
      </c>
      <c r="C76">
        <v>318244.94639917702</v>
      </c>
      <c r="D76">
        <f t="shared" si="13"/>
        <v>0</v>
      </c>
      <c r="F76">
        <v>557497.97583324136</v>
      </c>
      <c r="G76">
        <v>273721.8849289213</v>
      </c>
      <c r="H76">
        <f t="shared" si="14"/>
        <v>1</v>
      </c>
      <c r="I76">
        <f t="shared" si="15"/>
        <v>0</v>
      </c>
      <c r="J76">
        <f t="shared" si="16"/>
        <v>0</v>
      </c>
      <c r="K76">
        <f t="shared" si="17"/>
        <v>1</v>
      </c>
      <c r="M76">
        <v>1369062.2204921837</v>
      </c>
      <c r="N76">
        <v>1504362.498368474</v>
      </c>
      <c r="O76">
        <f t="shared" si="18"/>
        <v>0</v>
      </c>
      <c r="P76">
        <f t="shared" si="19"/>
        <v>0</v>
      </c>
      <c r="Q76">
        <f t="shared" si="20"/>
        <v>1</v>
      </c>
      <c r="S76">
        <v>4.5531252058187716E-3</v>
      </c>
      <c r="T76">
        <v>4.0768894318313972E-3</v>
      </c>
      <c r="U76">
        <f t="shared" si="11"/>
        <v>1</v>
      </c>
      <c r="V76">
        <f t="shared" si="21"/>
        <v>1</v>
      </c>
      <c r="W76">
        <f t="shared" si="12"/>
        <v>0</v>
      </c>
    </row>
    <row r="77" spans="1:23" x14ac:dyDescent="0.35">
      <c r="A77" s="1" t="s">
        <v>76</v>
      </c>
      <c r="B77">
        <v>489157.64365079359</v>
      </c>
      <c r="C77">
        <v>265122.78896082338</v>
      </c>
      <c r="D77">
        <f t="shared" si="13"/>
        <v>0</v>
      </c>
      <c r="F77">
        <v>403393.48259140732</v>
      </c>
      <c r="G77">
        <v>322792.29917159659</v>
      </c>
      <c r="H77">
        <f t="shared" si="14"/>
        <v>1</v>
      </c>
      <c r="I77">
        <f t="shared" si="15"/>
        <v>0</v>
      </c>
      <c r="J77">
        <f t="shared" si="16"/>
        <v>0</v>
      </c>
      <c r="K77">
        <f t="shared" si="17"/>
        <v>1</v>
      </c>
      <c r="M77">
        <v>1508000.8512411318</v>
      </c>
      <c r="N77">
        <v>1239282.1131546753</v>
      </c>
      <c r="O77">
        <f t="shared" si="18"/>
        <v>0</v>
      </c>
      <c r="P77">
        <f t="shared" si="19"/>
        <v>0</v>
      </c>
      <c r="Q77">
        <f t="shared" si="20"/>
        <v>1</v>
      </c>
      <c r="S77">
        <v>2.0854759189654654E-2</v>
      </c>
      <c r="T77">
        <v>3.2516230988631642E-2</v>
      </c>
      <c r="U77">
        <f t="shared" si="11"/>
        <v>0</v>
      </c>
      <c r="V77">
        <f t="shared" si="21"/>
        <v>0</v>
      </c>
      <c r="W77">
        <f t="shared" si="12"/>
        <v>0</v>
      </c>
    </row>
    <row r="78" spans="1:23" x14ac:dyDescent="0.35">
      <c r="A78" s="1" t="s">
        <v>77</v>
      </c>
      <c r="B78">
        <v>45.903846153846153</v>
      </c>
      <c r="C78">
        <v>12502.439376587379</v>
      </c>
      <c r="D78">
        <f t="shared" si="13"/>
        <v>1</v>
      </c>
      <c r="F78">
        <v>211230.54299698799</v>
      </c>
      <c r="G78">
        <v>627.42581994645252</v>
      </c>
      <c r="H78">
        <f t="shared" si="14"/>
        <v>1</v>
      </c>
      <c r="I78">
        <f t="shared" si="15"/>
        <v>1</v>
      </c>
      <c r="J78">
        <f t="shared" si="16"/>
        <v>0</v>
      </c>
      <c r="K78">
        <f t="shared" si="17"/>
        <v>0</v>
      </c>
      <c r="M78">
        <v>1385.1993567515951</v>
      </c>
      <c r="N78">
        <v>287069.75930594688</v>
      </c>
      <c r="O78">
        <f t="shared" si="18"/>
        <v>0</v>
      </c>
      <c r="P78">
        <f t="shared" si="19"/>
        <v>0</v>
      </c>
      <c r="Q78">
        <f t="shared" si="20"/>
        <v>0</v>
      </c>
      <c r="S78">
        <v>0.14863455943851017</v>
      </c>
      <c r="T78">
        <v>2.1046134780595391E-2</v>
      </c>
      <c r="U78">
        <f t="shared" si="11"/>
        <v>1</v>
      </c>
      <c r="V78">
        <f t="shared" si="21"/>
        <v>0</v>
      </c>
      <c r="W78">
        <f t="shared" si="12"/>
        <v>0</v>
      </c>
    </row>
    <row r="79" spans="1:23" x14ac:dyDescent="0.35">
      <c r="A79" s="1" t="s">
        <v>78</v>
      </c>
      <c r="B79">
        <v>336644.84288708348</v>
      </c>
      <c r="C79">
        <v>276786.39767519751</v>
      </c>
      <c r="D79">
        <f t="shared" si="13"/>
        <v>0</v>
      </c>
      <c r="F79">
        <v>395539.1747754137</v>
      </c>
      <c r="G79">
        <v>238876.89584909379</v>
      </c>
      <c r="H79">
        <f t="shared" si="14"/>
        <v>1</v>
      </c>
      <c r="I79">
        <f t="shared" si="15"/>
        <v>0</v>
      </c>
      <c r="J79">
        <f t="shared" si="16"/>
        <v>0</v>
      </c>
      <c r="K79">
        <f t="shared" si="17"/>
        <v>1</v>
      </c>
      <c r="M79">
        <v>1040172.6993863815</v>
      </c>
      <c r="N79">
        <v>1146055.286344778</v>
      </c>
      <c r="O79">
        <f t="shared" si="18"/>
        <v>0</v>
      </c>
      <c r="P79">
        <f t="shared" si="19"/>
        <v>0</v>
      </c>
      <c r="Q79">
        <f t="shared" si="20"/>
        <v>1</v>
      </c>
      <c r="S79">
        <v>1.9035980302984191E-2</v>
      </c>
      <c r="T79">
        <v>1.1551010671357309E-2</v>
      </c>
      <c r="U79">
        <f t="shared" si="11"/>
        <v>1</v>
      </c>
      <c r="V79">
        <f t="shared" si="21"/>
        <v>1</v>
      </c>
      <c r="W79">
        <f t="shared" si="12"/>
        <v>0</v>
      </c>
    </row>
    <row r="80" spans="1:23" x14ac:dyDescent="0.35">
      <c r="A80" s="1" t="s">
        <v>79</v>
      </c>
      <c r="B80">
        <v>2263.7934272300472</v>
      </c>
      <c r="C80">
        <v>37846.324409544017</v>
      </c>
      <c r="D80">
        <f t="shared" si="13"/>
        <v>1</v>
      </c>
      <c r="F80">
        <v>203582.66236869749</v>
      </c>
      <c r="G80">
        <v>4927.8858329442883</v>
      </c>
      <c r="H80">
        <f t="shared" si="14"/>
        <v>1</v>
      </c>
      <c r="I80">
        <f t="shared" si="15"/>
        <v>1</v>
      </c>
      <c r="J80">
        <f t="shared" si="16"/>
        <v>0</v>
      </c>
      <c r="K80">
        <f t="shared" si="17"/>
        <v>0</v>
      </c>
      <c r="M80">
        <v>16227.523773892042</v>
      </c>
      <c r="N80">
        <v>414253.55234770814</v>
      </c>
      <c r="O80">
        <f t="shared" si="18"/>
        <v>0</v>
      </c>
      <c r="P80">
        <f t="shared" si="19"/>
        <v>0</v>
      </c>
      <c r="Q80">
        <f t="shared" si="20"/>
        <v>0</v>
      </c>
      <c r="S80">
        <v>3.5317314194555957E-2</v>
      </c>
      <c r="T80">
        <v>1.8026808522321743E-2</v>
      </c>
      <c r="U80">
        <f t="shared" si="11"/>
        <v>1</v>
      </c>
      <c r="V80">
        <f t="shared" si="21"/>
        <v>0</v>
      </c>
      <c r="W80">
        <f t="shared" si="12"/>
        <v>0</v>
      </c>
    </row>
    <row r="81" spans="1:23" x14ac:dyDescent="0.35">
      <c r="A81" s="1" t="s">
        <v>80</v>
      </c>
      <c r="B81">
        <v>106.3611111111111</v>
      </c>
      <c r="C81">
        <v>18357.898105152592</v>
      </c>
      <c r="D81">
        <f t="shared" si="13"/>
        <v>1</v>
      </c>
      <c r="F81">
        <v>20383.5</v>
      </c>
      <c r="G81">
        <v>17.428829541154759</v>
      </c>
      <c r="H81">
        <f t="shared" si="14"/>
        <v>1</v>
      </c>
      <c r="I81">
        <f t="shared" si="15"/>
        <v>1</v>
      </c>
      <c r="J81">
        <f t="shared" si="16"/>
        <v>0</v>
      </c>
      <c r="K81">
        <f t="shared" si="17"/>
        <v>0</v>
      </c>
      <c r="M81">
        <v>163.70792006907678</v>
      </c>
      <c r="N81">
        <v>63479.735934081073</v>
      </c>
      <c r="O81">
        <f t="shared" si="18"/>
        <v>0</v>
      </c>
      <c r="P81">
        <f t="shared" si="19"/>
        <v>0</v>
      </c>
      <c r="Q81">
        <f t="shared" si="20"/>
        <v>0</v>
      </c>
      <c r="S81">
        <v>0.16844833105043075</v>
      </c>
      <c r="T81">
        <v>0.26413081299145913</v>
      </c>
      <c r="U81">
        <f t="shared" si="11"/>
        <v>0</v>
      </c>
      <c r="V81">
        <f t="shared" si="21"/>
        <v>0</v>
      </c>
      <c r="W81">
        <f t="shared" si="12"/>
        <v>0</v>
      </c>
    </row>
    <row r="82" spans="1:23" x14ac:dyDescent="0.35">
      <c r="A82" s="1" t="s">
        <v>81</v>
      </c>
      <c r="B82">
        <v>1221038.243483081</v>
      </c>
      <c r="C82">
        <v>626826.76590428432</v>
      </c>
      <c r="D82">
        <f t="shared" si="13"/>
        <v>0</v>
      </c>
      <c r="F82">
        <v>1085635.8429343631</v>
      </c>
      <c r="G82">
        <v>747083.2730212356</v>
      </c>
      <c r="H82">
        <f t="shared" si="14"/>
        <v>1</v>
      </c>
      <c r="I82">
        <f t="shared" si="15"/>
        <v>0</v>
      </c>
      <c r="J82">
        <f t="shared" si="16"/>
        <v>0</v>
      </c>
      <c r="K82">
        <f t="shared" si="17"/>
        <v>1</v>
      </c>
      <c r="M82">
        <v>3415870.9432327198</v>
      </c>
      <c r="N82">
        <v>2977249.1925434042</v>
      </c>
      <c r="O82">
        <f t="shared" si="18"/>
        <v>0</v>
      </c>
      <c r="P82">
        <f t="shared" si="19"/>
        <v>0</v>
      </c>
      <c r="Q82">
        <f t="shared" si="20"/>
        <v>1</v>
      </c>
      <c r="S82">
        <v>5.1729124638213005E-2</v>
      </c>
      <c r="T82">
        <v>3.2293729456740361E-2</v>
      </c>
      <c r="U82">
        <f t="shared" si="11"/>
        <v>1</v>
      </c>
      <c r="V82">
        <f t="shared" si="21"/>
        <v>1</v>
      </c>
      <c r="W82">
        <f t="shared" si="12"/>
        <v>0</v>
      </c>
    </row>
    <row r="83" spans="1:23" x14ac:dyDescent="0.35">
      <c r="A83" s="1" t="s">
        <v>82</v>
      </c>
      <c r="B83">
        <v>498187.31155397702</v>
      </c>
      <c r="C83">
        <v>218835.04769212779</v>
      </c>
      <c r="D83">
        <f t="shared" si="13"/>
        <v>0</v>
      </c>
      <c r="F83">
        <v>315429.53163580247</v>
      </c>
      <c r="G83">
        <v>284810.4033796296</v>
      </c>
      <c r="H83">
        <f t="shared" si="14"/>
        <v>1</v>
      </c>
      <c r="I83">
        <f t="shared" si="15"/>
        <v>0</v>
      </c>
      <c r="J83">
        <f t="shared" si="16"/>
        <v>0</v>
      </c>
      <c r="K83">
        <f t="shared" si="17"/>
        <v>1</v>
      </c>
      <c r="M83">
        <v>1426374.5294978772</v>
      </c>
      <c r="N83">
        <v>951372.03243457852</v>
      </c>
      <c r="O83">
        <f t="shared" si="18"/>
        <v>0</v>
      </c>
      <c r="P83">
        <f t="shared" si="19"/>
        <v>0</v>
      </c>
      <c r="Q83">
        <f t="shared" si="20"/>
        <v>1</v>
      </c>
      <c r="S83">
        <v>1.9247437563801942E-2</v>
      </c>
      <c r="T83">
        <v>3.0928517908245301E-2</v>
      </c>
      <c r="U83">
        <f t="shared" si="11"/>
        <v>0</v>
      </c>
      <c r="V83">
        <f t="shared" si="21"/>
        <v>0</v>
      </c>
      <c r="W83">
        <f t="shared" si="12"/>
        <v>0</v>
      </c>
    </row>
    <row r="84" spans="1:23" x14ac:dyDescent="0.35">
      <c r="A84" s="1" t="s">
        <v>83</v>
      </c>
      <c r="B84">
        <v>196714.69803373309</v>
      </c>
      <c r="C84">
        <v>188515.82286053209</v>
      </c>
      <c r="D84">
        <f t="shared" si="13"/>
        <v>0</v>
      </c>
      <c r="F84">
        <v>244993.5978860186</v>
      </c>
      <c r="G84">
        <v>149883.62420080209</v>
      </c>
      <c r="H84">
        <f t="shared" si="14"/>
        <v>1</v>
      </c>
      <c r="I84">
        <f t="shared" si="15"/>
        <v>0</v>
      </c>
      <c r="J84">
        <f t="shared" si="16"/>
        <v>0</v>
      </c>
      <c r="K84">
        <f t="shared" si="17"/>
        <v>1</v>
      </c>
      <c r="M84">
        <v>652964.58881194214</v>
      </c>
      <c r="N84">
        <v>819440.47057863581</v>
      </c>
      <c r="O84">
        <f t="shared" si="18"/>
        <v>0</v>
      </c>
      <c r="P84">
        <f t="shared" si="19"/>
        <v>0</v>
      </c>
      <c r="Q84">
        <f t="shared" si="20"/>
        <v>1</v>
      </c>
      <c r="S84">
        <v>2.7355867106563004E-2</v>
      </c>
      <c r="T84">
        <v>1.9568619775799843E-2</v>
      </c>
      <c r="U84">
        <f t="shared" si="11"/>
        <v>1</v>
      </c>
      <c r="V84">
        <f t="shared" si="21"/>
        <v>1</v>
      </c>
      <c r="W84">
        <f t="shared" si="12"/>
        <v>0</v>
      </c>
    </row>
    <row r="85" spans="1:23" x14ac:dyDescent="0.35">
      <c r="A85" s="1" t="s">
        <v>84</v>
      </c>
      <c r="B85">
        <v>1346358.888721176</v>
      </c>
      <c r="C85">
        <v>540137.70688190742</v>
      </c>
      <c r="D85">
        <f t="shared" si="13"/>
        <v>0</v>
      </c>
      <c r="F85">
        <v>669636.85983348149</v>
      </c>
      <c r="G85">
        <v>579322.0536761441</v>
      </c>
      <c r="H85">
        <f t="shared" si="14"/>
        <v>1</v>
      </c>
      <c r="I85">
        <f t="shared" si="15"/>
        <v>0</v>
      </c>
      <c r="J85">
        <f t="shared" si="16"/>
        <v>0</v>
      </c>
      <c r="K85">
        <f t="shared" si="17"/>
        <v>1</v>
      </c>
      <c r="M85">
        <v>3318962.7218840579</v>
      </c>
      <c r="N85">
        <v>2332092.0714236991</v>
      </c>
      <c r="O85">
        <f t="shared" si="18"/>
        <v>0</v>
      </c>
      <c r="P85">
        <f t="shared" si="19"/>
        <v>0</v>
      </c>
      <c r="Q85">
        <f t="shared" si="20"/>
        <v>1</v>
      </c>
      <c r="S85">
        <v>4.2057197611335639E-2</v>
      </c>
      <c r="T85">
        <v>4.0052256628521278E-2</v>
      </c>
      <c r="U85">
        <f t="shared" si="11"/>
        <v>1</v>
      </c>
      <c r="V85">
        <f t="shared" si="21"/>
        <v>1</v>
      </c>
      <c r="W85">
        <f t="shared" si="12"/>
        <v>0</v>
      </c>
    </row>
    <row r="86" spans="1:23" x14ac:dyDescent="0.35">
      <c r="A86" s="1" t="s">
        <v>85</v>
      </c>
      <c r="B86">
        <v>138.09848484848479</v>
      </c>
      <c r="C86">
        <v>7434.543521541309</v>
      </c>
      <c r="D86">
        <f t="shared" si="13"/>
        <v>1</v>
      </c>
      <c r="F86">
        <v>351784.70987136458</v>
      </c>
      <c r="G86">
        <v>1231.630714019389</v>
      </c>
      <c r="H86">
        <f t="shared" si="14"/>
        <v>1</v>
      </c>
      <c r="I86">
        <f t="shared" si="15"/>
        <v>1</v>
      </c>
      <c r="J86">
        <f t="shared" si="16"/>
        <v>0</v>
      </c>
      <c r="K86">
        <f t="shared" si="17"/>
        <v>0</v>
      </c>
      <c r="M86">
        <v>2871.8296568627447</v>
      </c>
      <c r="N86">
        <v>536950.2876332968</v>
      </c>
      <c r="O86">
        <f t="shared" si="18"/>
        <v>0</v>
      </c>
      <c r="P86">
        <f t="shared" si="19"/>
        <v>0</v>
      </c>
      <c r="Q86">
        <f t="shared" si="20"/>
        <v>0</v>
      </c>
      <c r="S86">
        <v>0.21044839070090382</v>
      </c>
      <c r="T86">
        <v>1.8337468668219861E-2</v>
      </c>
      <c r="U86">
        <f t="shared" si="11"/>
        <v>1</v>
      </c>
      <c r="V86">
        <f t="shared" si="21"/>
        <v>0</v>
      </c>
      <c r="W86">
        <f t="shared" si="12"/>
        <v>0</v>
      </c>
    </row>
    <row r="87" spans="1:23" x14ac:dyDescent="0.35">
      <c r="A87" s="1" t="s">
        <v>86</v>
      </c>
      <c r="B87">
        <v>674108.89548809524</v>
      </c>
      <c r="C87">
        <v>293916.0736934524</v>
      </c>
      <c r="D87">
        <f t="shared" si="13"/>
        <v>0</v>
      </c>
      <c r="F87">
        <v>460310.78674164368</v>
      </c>
      <c r="G87">
        <v>425016.33758012822</v>
      </c>
      <c r="H87">
        <f t="shared" si="14"/>
        <v>1</v>
      </c>
      <c r="I87">
        <f t="shared" si="15"/>
        <v>0</v>
      </c>
      <c r="J87">
        <f t="shared" si="16"/>
        <v>0</v>
      </c>
      <c r="K87">
        <f t="shared" si="17"/>
        <v>1</v>
      </c>
      <c r="M87">
        <v>1878466.9459260376</v>
      </c>
      <c r="N87">
        <v>1354122.2179076932</v>
      </c>
      <c r="O87">
        <f t="shared" si="18"/>
        <v>0</v>
      </c>
      <c r="P87">
        <f t="shared" si="19"/>
        <v>0</v>
      </c>
      <c r="Q87">
        <f t="shared" si="20"/>
        <v>1</v>
      </c>
      <c r="S87">
        <v>2.4885531446972382E-2</v>
      </c>
      <c r="T87">
        <v>2.3337010234110545E-2</v>
      </c>
      <c r="U87">
        <f t="shared" si="11"/>
        <v>1</v>
      </c>
      <c r="V87">
        <f t="shared" si="21"/>
        <v>1</v>
      </c>
      <c r="W87">
        <f t="shared" si="12"/>
        <v>0</v>
      </c>
    </row>
    <row r="88" spans="1:23" x14ac:dyDescent="0.35">
      <c r="A88" s="1" t="s">
        <v>87</v>
      </c>
      <c r="B88">
        <v>632565.25690921233</v>
      </c>
      <c r="C88">
        <v>353861.20634457062</v>
      </c>
      <c r="D88">
        <f t="shared" si="13"/>
        <v>0</v>
      </c>
      <c r="F88">
        <v>510789.3629585327</v>
      </c>
      <c r="G88">
        <v>349393.2345295056</v>
      </c>
      <c r="H88">
        <f t="shared" si="14"/>
        <v>1</v>
      </c>
      <c r="I88">
        <f t="shared" si="15"/>
        <v>0</v>
      </c>
      <c r="J88">
        <f t="shared" si="16"/>
        <v>0</v>
      </c>
      <c r="K88">
        <f t="shared" si="17"/>
        <v>1</v>
      </c>
      <c r="M88">
        <v>1587987.8296202919</v>
      </c>
      <c r="N88">
        <v>1465736.6468146227</v>
      </c>
      <c r="O88">
        <f t="shared" si="18"/>
        <v>0</v>
      </c>
      <c r="P88">
        <f t="shared" si="19"/>
        <v>0</v>
      </c>
      <c r="Q88">
        <f t="shared" si="20"/>
        <v>1</v>
      </c>
      <c r="S88">
        <v>1.1079009713588142E-2</v>
      </c>
      <c r="T88">
        <v>1.0699743672879987E-2</v>
      </c>
      <c r="U88">
        <f t="shared" si="11"/>
        <v>1</v>
      </c>
      <c r="V88">
        <f t="shared" si="21"/>
        <v>1</v>
      </c>
      <c r="W88">
        <f t="shared" si="12"/>
        <v>0</v>
      </c>
    </row>
    <row r="89" spans="1:23" x14ac:dyDescent="0.35">
      <c r="A89" s="1" t="s">
        <v>88</v>
      </c>
      <c r="B89">
        <v>9428.3289231601739</v>
      </c>
      <c r="C89">
        <v>94740.664944116317</v>
      </c>
      <c r="D89">
        <f t="shared" si="13"/>
        <v>1</v>
      </c>
      <c r="F89">
        <v>701535.80409779749</v>
      </c>
      <c r="G89">
        <v>16505.192007998048</v>
      </c>
      <c r="H89">
        <f t="shared" si="14"/>
        <v>1</v>
      </c>
      <c r="I89">
        <f t="shared" si="15"/>
        <v>1</v>
      </c>
      <c r="J89">
        <f t="shared" si="16"/>
        <v>0</v>
      </c>
      <c r="K89">
        <f t="shared" si="17"/>
        <v>0</v>
      </c>
      <c r="M89">
        <v>60721.918167011041</v>
      </c>
      <c r="N89">
        <v>1424782.6310086788</v>
      </c>
      <c r="O89">
        <f t="shared" si="18"/>
        <v>0</v>
      </c>
      <c r="P89">
        <f t="shared" si="19"/>
        <v>0</v>
      </c>
      <c r="Q89">
        <f t="shared" si="20"/>
        <v>0</v>
      </c>
      <c r="S89">
        <v>2.4852546700944549E-3</v>
      </c>
      <c r="T89">
        <v>4.6567224301607632E-3</v>
      </c>
      <c r="U89">
        <f t="shared" si="11"/>
        <v>0</v>
      </c>
      <c r="V89">
        <f t="shared" si="21"/>
        <v>0</v>
      </c>
      <c r="W89">
        <f t="shared" si="12"/>
        <v>0</v>
      </c>
    </row>
    <row r="90" spans="1:23" x14ac:dyDescent="0.35">
      <c r="A90" s="1" t="s">
        <v>89</v>
      </c>
      <c r="B90">
        <v>4321.4160680882906</v>
      </c>
      <c r="C90">
        <v>64491.889407397714</v>
      </c>
      <c r="D90">
        <f t="shared" si="13"/>
        <v>1</v>
      </c>
      <c r="F90">
        <v>502041.97476220381</v>
      </c>
      <c r="G90">
        <v>6064.8288318134964</v>
      </c>
      <c r="H90">
        <f t="shared" si="14"/>
        <v>1</v>
      </c>
      <c r="I90">
        <f t="shared" si="15"/>
        <v>1</v>
      </c>
      <c r="J90">
        <f t="shared" si="16"/>
        <v>0</v>
      </c>
      <c r="K90">
        <f t="shared" si="17"/>
        <v>0</v>
      </c>
      <c r="M90">
        <v>30944.211055526146</v>
      </c>
      <c r="N90">
        <v>1123723.3525519324</v>
      </c>
      <c r="O90">
        <f t="shared" si="18"/>
        <v>0</v>
      </c>
      <c r="P90">
        <f t="shared" si="19"/>
        <v>0</v>
      </c>
      <c r="Q90">
        <f t="shared" si="20"/>
        <v>0</v>
      </c>
      <c r="S90">
        <v>3.8748535257126786E-2</v>
      </c>
      <c r="T90">
        <v>1.5399105656600147E-2</v>
      </c>
      <c r="U90">
        <f t="shared" si="11"/>
        <v>1</v>
      </c>
      <c r="V90">
        <f t="shared" si="21"/>
        <v>0</v>
      </c>
      <c r="W90">
        <f t="shared" si="12"/>
        <v>0</v>
      </c>
    </row>
    <row r="91" spans="1:23" x14ac:dyDescent="0.35">
      <c r="A91" s="1" t="s">
        <v>90</v>
      </c>
      <c r="B91">
        <v>10573.181074766349</v>
      </c>
      <c r="C91">
        <v>114592.8538703119</v>
      </c>
      <c r="D91">
        <f t="shared" si="13"/>
        <v>1</v>
      </c>
      <c r="F91">
        <v>1038941.669739673</v>
      </c>
      <c r="G91">
        <v>19090.877985154901</v>
      </c>
      <c r="H91">
        <f t="shared" si="14"/>
        <v>1</v>
      </c>
      <c r="I91">
        <f t="shared" si="15"/>
        <v>1</v>
      </c>
      <c r="J91">
        <f t="shared" si="16"/>
        <v>0</v>
      </c>
      <c r="K91">
        <f t="shared" si="17"/>
        <v>0</v>
      </c>
      <c r="M91">
        <v>58255.978642633127</v>
      </c>
      <c r="N91">
        <v>1553390.6539030755</v>
      </c>
      <c r="O91">
        <f t="shared" si="18"/>
        <v>0</v>
      </c>
      <c r="P91">
        <f t="shared" si="19"/>
        <v>0</v>
      </c>
      <c r="Q91">
        <f t="shared" si="20"/>
        <v>0</v>
      </c>
      <c r="S91">
        <v>4.145607437040684E-2</v>
      </c>
      <c r="T91">
        <v>2.4626719440982183E-2</v>
      </c>
      <c r="U91">
        <f t="shared" si="11"/>
        <v>1</v>
      </c>
      <c r="V91">
        <f t="shared" si="21"/>
        <v>0</v>
      </c>
      <c r="W91">
        <f t="shared" si="12"/>
        <v>0</v>
      </c>
    </row>
    <row r="92" spans="1:23" x14ac:dyDescent="0.35">
      <c r="A92" s="1" t="s">
        <v>91</v>
      </c>
      <c r="B92">
        <v>34.5</v>
      </c>
      <c r="C92">
        <v>2069.1674629080858</v>
      </c>
      <c r="D92">
        <f t="shared" si="13"/>
        <v>1</v>
      </c>
      <c r="F92">
        <v>455099.79331977351</v>
      </c>
      <c r="G92">
        <v>712.96135173220591</v>
      </c>
      <c r="H92">
        <f t="shared" si="14"/>
        <v>1</v>
      </c>
      <c r="I92">
        <f t="shared" si="15"/>
        <v>1</v>
      </c>
      <c r="J92">
        <f t="shared" si="16"/>
        <v>0</v>
      </c>
      <c r="K92">
        <f t="shared" si="17"/>
        <v>0</v>
      </c>
      <c r="M92">
        <v>1601.981998992951</v>
      </c>
      <c r="N92">
        <v>395024.83806154126</v>
      </c>
      <c r="O92">
        <f t="shared" si="18"/>
        <v>0</v>
      </c>
      <c r="P92">
        <f t="shared" si="19"/>
        <v>0</v>
      </c>
      <c r="Q92">
        <f t="shared" si="20"/>
        <v>0</v>
      </c>
      <c r="S92">
        <v>0.3194189977097634</v>
      </c>
      <c r="T92">
        <v>3.8592552968762031E-2</v>
      </c>
      <c r="U92">
        <f t="shared" si="11"/>
        <v>1</v>
      </c>
      <c r="V92">
        <f t="shared" si="21"/>
        <v>0</v>
      </c>
      <c r="W92">
        <f t="shared" si="12"/>
        <v>0</v>
      </c>
    </row>
    <row r="93" spans="1:23" x14ac:dyDescent="0.35">
      <c r="A93" s="1" t="s">
        <v>92</v>
      </c>
      <c r="B93">
        <v>2552.7365754812558</v>
      </c>
      <c r="C93">
        <v>57172.281512854759</v>
      </c>
      <c r="D93">
        <f t="shared" si="13"/>
        <v>1</v>
      </c>
      <c r="F93">
        <v>283520.83147630689</v>
      </c>
      <c r="G93">
        <v>3697.7272194085458</v>
      </c>
      <c r="H93">
        <f t="shared" si="14"/>
        <v>1</v>
      </c>
      <c r="I93">
        <f t="shared" si="15"/>
        <v>1</v>
      </c>
      <c r="J93">
        <f t="shared" si="16"/>
        <v>0</v>
      </c>
      <c r="K93">
        <f t="shared" si="17"/>
        <v>0</v>
      </c>
      <c r="M93">
        <v>11552.976091551864</v>
      </c>
      <c r="N93">
        <v>467265.64228811377</v>
      </c>
      <c r="O93">
        <f t="shared" si="18"/>
        <v>0</v>
      </c>
      <c r="P93">
        <f t="shared" si="19"/>
        <v>0</v>
      </c>
      <c r="Q93">
        <f t="shared" si="20"/>
        <v>0</v>
      </c>
      <c r="S93">
        <v>2.6714697822936159E-2</v>
      </c>
      <c r="T93">
        <v>1.4337065858308918E-2</v>
      </c>
      <c r="U93">
        <f t="shared" si="11"/>
        <v>1</v>
      </c>
      <c r="V93">
        <f t="shared" si="21"/>
        <v>0</v>
      </c>
      <c r="W93">
        <f t="shared" si="12"/>
        <v>0</v>
      </c>
    </row>
    <row r="94" spans="1:23" x14ac:dyDescent="0.35">
      <c r="A94" s="1" t="s">
        <v>93</v>
      </c>
      <c r="B94">
        <v>245299.69890958539</v>
      </c>
      <c r="C94">
        <v>204882.29974685269</v>
      </c>
      <c r="D94">
        <f t="shared" si="13"/>
        <v>0</v>
      </c>
      <c r="F94">
        <v>309843.07665082847</v>
      </c>
      <c r="G94">
        <v>142075.21419085909</v>
      </c>
      <c r="H94">
        <f t="shared" si="14"/>
        <v>1</v>
      </c>
      <c r="I94">
        <f t="shared" si="15"/>
        <v>0</v>
      </c>
      <c r="J94">
        <f t="shared" si="16"/>
        <v>0</v>
      </c>
      <c r="K94">
        <f t="shared" si="17"/>
        <v>1</v>
      </c>
      <c r="M94">
        <v>922809.13217305951</v>
      </c>
      <c r="N94">
        <v>1022021.8144694453</v>
      </c>
      <c r="O94">
        <f t="shared" si="18"/>
        <v>0</v>
      </c>
      <c r="P94">
        <f t="shared" si="19"/>
        <v>0</v>
      </c>
      <c r="Q94">
        <f t="shared" si="20"/>
        <v>1</v>
      </c>
      <c r="S94">
        <v>1.4152122370384868E-2</v>
      </c>
      <c r="T94">
        <v>3.163641194107681E-2</v>
      </c>
      <c r="U94">
        <f t="shared" si="11"/>
        <v>0</v>
      </c>
      <c r="V94">
        <f t="shared" si="21"/>
        <v>0</v>
      </c>
      <c r="W94">
        <f t="shared" si="12"/>
        <v>0</v>
      </c>
    </row>
    <row r="95" spans="1:23" x14ac:dyDescent="0.35">
      <c r="A95" s="1" t="s">
        <v>94</v>
      </c>
      <c r="B95">
        <v>750674.95524553582</v>
      </c>
      <c r="C95">
        <v>381061.38142803998</v>
      </c>
      <c r="D95">
        <f t="shared" si="13"/>
        <v>0</v>
      </c>
      <c r="F95">
        <v>637145.02076042001</v>
      </c>
      <c r="G95">
        <v>448241.34943790431</v>
      </c>
      <c r="H95">
        <f t="shared" si="14"/>
        <v>1</v>
      </c>
      <c r="I95">
        <f t="shared" si="15"/>
        <v>0</v>
      </c>
      <c r="J95">
        <f t="shared" si="16"/>
        <v>0</v>
      </c>
      <c r="K95">
        <f t="shared" si="17"/>
        <v>1</v>
      </c>
      <c r="M95">
        <v>1962448.7926602934</v>
      </c>
      <c r="N95">
        <v>1661343.7736165097</v>
      </c>
      <c r="O95">
        <f t="shared" si="18"/>
        <v>0</v>
      </c>
      <c r="P95">
        <f t="shared" si="19"/>
        <v>0</v>
      </c>
      <c r="Q95">
        <f t="shared" si="20"/>
        <v>1</v>
      </c>
      <c r="S95">
        <v>9.4980572001832603E-2</v>
      </c>
      <c r="T95">
        <v>7.5825929235924378E-2</v>
      </c>
      <c r="U95">
        <f t="shared" si="11"/>
        <v>1</v>
      </c>
      <c r="V95">
        <f t="shared" si="21"/>
        <v>1</v>
      </c>
      <c r="W95">
        <f t="shared" si="12"/>
        <v>0</v>
      </c>
    </row>
    <row r="96" spans="1:23" x14ac:dyDescent="0.35">
      <c r="A96" s="1" t="s">
        <v>95</v>
      </c>
      <c r="B96">
        <v>31555.818924302788</v>
      </c>
      <c r="C96">
        <v>157099.1763118151</v>
      </c>
      <c r="D96">
        <f t="shared" si="13"/>
        <v>1</v>
      </c>
      <c r="F96">
        <v>793408.9447847358</v>
      </c>
      <c r="G96">
        <v>42815.616574255269</v>
      </c>
      <c r="H96">
        <f t="shared" si="14"/>
        <v>1</v>
      </c>
      <c r="I96">
        <f t="shared" si="15"/>
        <v>1</v>
      </c>
      <c r="J96">
        <f t="shared" si="16"/>
        <v>0</v>
      </c>
      <c r="K96">
        <f t="shared" si="17"/>
        <v>0</v>
      </c>
      <c r="M96">
        <v>134396.99706978782</v>
      </c>
      <c r="N96">
        <v>1289251.7145925215</v>
      </c>
      <c r="O96">
        <f t="shared" si="18"/>
        <v>0</v>
      </c>
      <c r="P96">
        <f t="shared" si="19"/>
        <v>0</v>
      </c>
      <c r="Q96">
        <f t="shared" si="20"/>
        <v>0</v>
      </c>
      <c r="S96">
        <v>4.7666844381830789E-2</v>
      </c>
      <c r="T96">
        <v>1.7396810106766008E-2</v>
      </c>
      <c r="U96">
        <f t="shared" si="11"/>
        <v>1</v>
      </c>
      <c r="V96">
        <f t="shared" si="21"/>
        <v>0</v>
      </c>
      <c r="W96">
        <f t="shared" si="12"/>
        <v>0</v>
      </c>
    </row>
    <row r="97" spans="1:23" x14ac:dyDescent="0.35">
      <c r="A97" s="1" t="s">
        <v>96</v>
      </c>
      <c r="B97">
        <v>595597.76357709756</v>
      </c>
      <c r="C97">
        <v>503001.06944161002</v>
      </c>
      <c r="D97">
        <f t="shared" si="13"/>
        <v>0</v>
      </c>
      <c r="F97">
        <v>877196.94062736211</v>
      </c>
      <c r="G97">
        <v>353487.62180650042</v>
      </c>
      <c r="H97">
        <f t="shared" si="14"/>
        <v>1</v>
      </c>
      <c r="I97">
        <f t="shared" si="15"/>
        <v>0</v>
      </c>
      <c r="J97">
        <f t="shared" si="16"/>
        <v>0</v>
      </c>
      <c r="K97">
        <f t="shared" si="17"/>
        <v>1</v>
      </c>
      <c r="M97">
        <v>1600312.0784783741</v>
      </c>
      <c r="N97">
        <v>2415847.689321361</v>
      </c>
      <c r="O97">
        <f t="shared" si="18"/>
        <v>0</v>
      </c>
      <c r="P97">
        <f t="shared" si="19"/>
        <v>0</v>
      </c>
      <c r="Q97">
        <f t="shared" si="20"/>
        <v>1</v>
      </c>
      <c r="S97">
        <v>9.2215052010022629E-4</v>
      </c>
      <c r="T97">
        <v>3.7691628262424364E-3</v>
      </c>
      <c r="U97">
        <f t="shared" si="11"/>
        <v>0</v>
      </c>
      <c r="V97">
        <f t="shared" si="21"/>
        <v>0</v>
      </c>
      <c r="W97">
        <f t="shared" si="12"/>
        <v>0</v>
      </c>
    </row>
    <row r="98" spans="1:23" x14ac:dyDescent="0.35">
      <c r="A98" s="1" t="s">
        <v>97</v>
      </c>
      <c r="B98">
        <v>411617.98183276958</v>
      </c>
      <c r="C98">
        <v>946677.7208206841</v>
      </c>
      <c r="D98">
        <f t="shared" si="13"/>
        <v>1</v>
      </c>
      <c r="F98">
        <v>101767.3557881773</v>
      </c>
      <c r="G98">
        <v>62777.275259503847</v>
      </c>
      <c r="H98">
        <f t="shared" si="14"/>
        <v>1</v>
      </c>
      <c r="I98">
        <f t="shared" si="15"/>
        <v>1</v>
      </c>
      <c r="J98">
        <f t="shared" si="16"/>
        <v>0</v>
      </c>
      <c r="K98">
        <f t="shared" si="17"/>
        <v>0</v>
      </c>
      <c r="M98">
        <v>542862.775647962</v>
      </c>
      <c r="N98">
        <v>2370954.8932731403</v>
      </c>
      <c r="O98">
        <f t="shared" si="18"/>
        <v>0</v>
      </c>
      <c r="P98">
        <f t="shared" si="19"/>
        <v>0</v>
      </c>
      <c r="Q98">
        <f t="shared" si="20"/>
        <v>0</v>
      </c>
      <c r="S98">
        <v>3.2950197157117899E-3</v>
      </c>
      <c r="T98">
        <v>1.6083064851037221E-2</v>
      </c>
      <c r="U98">
        <f t="shared" si="11"/>
        <v>0</v>
      </c>
      <c r="V98">
        <f t="shared" si="21"/>
        <v>0</v>
      </c>
      <c r="W98">
        <f t="shared" si="12"/>
        <v>0</v>
      </c>
    </row>
    <row r="99" spans="1:23" x14ac:dyDescent="0.35">
      <c r="A99" s="1" t="s">
        <v>98</v>
      </c>
      <c r="B99">
        <v>321083.93660231959</v>
      </c>
      <c r="C99">
        <v>272657.0538207012</v>
      </c>
      <c r="D99">
        <f t="shared" si="13"/>
        <v>0</v>
      </c>
      <c r="F99">
        <v>358875.88610830472</v>
      </c>
      <c r="G99">
        <v>231493.1213398891</v>
      </c>
      <c r="H99">
        <f t="shared" si="14"/>
        <v>1</v>
      </c>
      <c r="I99">
        <f t="shared" si="15"/>
        <v>0</v>
      </c>
      <c r="J99">
        <f t="shared" si="16"/>
        <v>0</v>
      </c>
      <c r="K99">
        <f t="shared" si="17"/>
        <v>1</v>
      </c>
      <c r="M99">
        <v>1022831.3084078811</v>
      </c>
      <c r="N99">
        <v>1212811.4755273219</v>
      </c>
      <c r="O99">
        <f t="shared" si="18"/>
        <v>0</v>
      </c>
      <c r="P99">
        <f t="shared" si="19"/>
        <v>0</v>
      </c>
      <c r="Q99">
        <f t="shared" si="20"/>
        <v>1</v>
      </c>
      <c r="S99">
        <v>1.8389597055911155E-2</v>
      </c>
      <c r="T99">
        <v>1.0621826179338387E-2</v>
      </c>
      <c r="U99">
        <f t="shared" si="11"/>
        <v>1</v>
      </c>
      <c r="V99">
        <f t="shared" si="21"/>
        <v>1</v>
      </c>
      <c r="W99">
        <f t="shared" si="12"/>
        <v>0</v>
      </c>
    </row>
    <row r="100" spans="1:23" x14ac:dyDescent="0.35">
      <c r="A100" s="1" t="s">
        <v>99</v>
      </c>
      <c r="B100">
        <v>432024.37796462851</v>
      </c>
      <c r="C100">
        <v>327415.80929008219</v>
      </c>
      <c r="D100">
        <f t="shared" si="13"/>
        <v>0</v>
      </c>
      <c r="F100">
        <v>606558.6808884067</v>
      </c>
      <c r="G100">
        <v>230235.19614516891</v>
      </c>
      <c r="H100">
        <f t="shared" si="14"/>
        <v>1</v>
      </c>
      <c r="I100">
        <f t="shared" si="15"/>
        <v>0</v>
      </c>
      <c r="J100">
        <f t="shared" si="16"/>
        <v>0</v>
      </c>
      <c r="K100">
        <f t="shared" si="17"/>
        <v>1</v>
      </c>
      <c r="M100">
        <v>1567181.2702455758</v>
      </c>
      <c r="N100">
        <v>2359225.3505276162</v>
      </c>
      <c r="O100">
        <f t="shared" si="18"/>
        <v>0</v>
      </c>
      <c r="P100">
        <f t="shared" si="19"/>
        <v>0</v>
      </c>
      <c r="Q100">
        <f t="shared" si="20"/>
        <v>1</v>
      </c>
      <c r="S100">
        <v>3.5628011762986182E-2</v>
      </c>
      <c r="T100">
        <v>4.8576604374770439E-2</v>
      </c>
      <c r="U100">
        <f t="shared" si="11"/>
        <v>0</v>
      </c>
      <c r="V100">
        <f t="shared" si="21"/>
        <v>0</v>
      </c>
      <c r="W100">
        <f t="shared" si="12"/>
        <v>0</v>
      </c>
    </row>
    <row r="101" spans="1:23" x14ac:dyDescent="0.35">
      <c r="A101" s="1" t="s">
        <v>100</v>
      </c>
      <c r="B101">
        <v>10695.912326388891</v>
      </c>
      <c r="C101">
        <v>76993.259812934935</v>
      </c>
      <c r="D101">
        <f t="shared" si="13"/>
        <v>1</v>
      </c>
      <c r="F101">
        <v>740721.86252218881</v>
      </c>
      <c r="G101">
        <v>16531.033725013509</v>
      </c>
      <c r="H101">
        <f t="shared" si="14"/>
        <v>1</v>
      </c>
      <c r="I101">
        <f t="shared" si="15"/>
        <v>1</v>
      </c>
      <c r="J101">
        <f t="shared" si="16"/>
        <v>0</v>
      </c>
      <c r="K101">
        <f t="shared" si="17"/>
        <v>0</v>
      </c>
      <c r="M101">
        <v>50705.821710526317</v>
      </c>
      <c r="N101">
        <v>1263374.0354095832</v>
      </c>
      <c r="O101">
        <f t="shared" si="18"/>
        <v>0</v>
      </c>
      <c r="P101">
        <f t="shared" si="19"/>
        <v>0</v>
      </c>
      <c r="Q101">
        <f t="shared" si="20"/>
        <v>0</v>
      </c>
      <c r="S101">
        <v>5.3717378145444666E-2</v>
      </c>
      <c r="T101">
        <v>2.7337780850221292E-2</v>
      </c>
      <c r="U101">
        <f t="shared" si="11"/>
        <v>1</v>
      </c>
      <c r="V101">
        <f t="shared" si="21"/>
        <v>0</v>
      </c>
      <c r="W101">
        <f t="shared" si="12"/>
        <v>0</v>
      </c>
    </row>
    <row r="102" spans="1:23" ht="15" thickBot="1" x14ac:dyDescent="0.4">
      <c r="A102" s="1" t="s">
        <v>101</v>
      </c>
      <c r="B102">
        <v>102217.82414965989</v>
      </c>
      <c r="C102">
        <v>107287.3240416292</v>
      </c>
      <c r="D102">
        <f t="shared" si="13"/>
        <v>1</v>
      </c>
      <c r="F102">
        <v>254541.7434968735</v>
      </c>
      <c r="G102">
        <v>131175.228968254</v>
      </c>
      <c r="H102">
        <f t="shared" si="14"/>
        <v>1</v>
      </c>
      <c r="I102">
        <f t="shared" si="15"/>
        <v>1</v>
      </c>
      <c r="J102">
        <f t="shared" si="16"/>
        <v>0</v>
      </c>
      <c r="K102">
        <f t="shared" si="17"/>
        <v>0</v>
      </c>
      <c r="M102" s="2">
        <v>509586.83882149053</v>
      </c>
      <c r="N102" s="2">
        <v>664528.61495367554</v>
      </c>
      <c r="O102">
        <f t="shared" si="18"/>
        <v>0</v>
      </c>
      <c r="P102">
        <f t="shared" si="19"/>
        <v>0</v>
      </c>
      <c r="Q102">
        <f t="shared" si="20"/>
        <v>0</v>
      </c>
      <c r="S102" s="2">
        <v>2.3803949324921813E-2</v>
      </c>
      <c r="T102" s="2">
        <v>2.3862193972055117E-2</v>
      </c>
      <c r="U102" s="2">
        <f t="shared" si="11"/>
        <v>0</v>
      </c>
      <c r="V102">
        <f t="shared" si="21"/>
        <v>0</v>
      </c>
      <c r="W102" s="2">
        <f t="shared" si="12"/>
        <v>0</v>
      </c>
    </row>
    <row r="103" spans="1:23" ht="15" thickTop="1" x14ac:dyDescent="0.35"/>
  </sheetData>
  <mergeCells count="2">
    <mergeCell ref="F1:G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2025-05-13T06:45:54Z</dcterms:created>
  <dcterms:modified xsi:type="dcterms:W3CDTF">2025-05-13T09:11:54Z</dcterms:modified>
</cp:coreProperties>
</file>