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29" documentId="11_23F921ED7F8B0C1CE92D4C9BFD7EF74F45D27170" xr6:coauthVersionLast="47" xr6:coauthVersionMax="47" xr10:uidLastSave="{5C09A0EA-AD83-4C6A-837E-B224B14E0094}"/>
  <bookViews>
    <workbookView xWindow="17630" yWindow="0" windowWidth="2086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Q37" i="1" s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Q69" i="1" s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Q89" i="1" s="1"/>
  <c r="O90" i="1"/>
  <c r="O91" i="1"/>
  <c r="O92" i="1"/>
  <c r="Q92" i="1" s="1"/>
  <c r="O93" i="1"/>
  <c r="O94" i="1"/>
  <c r="O95" i="1"/>
  <c r="O96" i="1"/>
  <c r="O97" i="1"/>
  <c r="O98" i="1"/>
  <c r="O99" i="1"/>
  <c r="O100" i="1"/>
  <c r="O101" i="1"/>
  <c r="O102" i="1"/>
  <c r="O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Q41" i="1" s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Q73" i="1" s="1"/>
  <c r="P74" i="1"/>
  <c r="P75" i="1"/>
  <c r="P76" i="1"/>
  <c r="P77" i="1"/>
  <c r="Q77" i="1" s="1"/>
  <c r="P78" i="1"/>
  <c r="P79" i="1"/>
  <c r="P80" i="1"/>
  <c r="Q80" i="1" s="1"/>
  <c r="P81" i="1"/>
  <c r="P82" i="1"/>
  <c r="P83" i="1"/>
  <c r="P84" i="1"/>
  <c r="P85" i="1"/>
  <c r="P86" i="1"/>
  <c r="P87" i="1"/>
  <c r="P88" i="1"/>
  <c r="Q88" i="1" s="1"/>
  <c r="P89" i="1"/>
  <c r="P90" i="1"/>
  <c r="Q90" i="1" s="1"/>
  <c r="P91" i="1"/>
  <c r="Q91" i="1" s="1"/>
  <c r="P92" i="1"/>
  <c r="P93" i="1"/>
  <c r="P94" i="1"/>
  <c r="P95" i="1"/>
  <c r="P96" i="1"/>
  <c r="P97" i="1"/>
  <c r="P98" i="1"/>
  <c r="P99" i="1"/>
  <c r="P100" i="1"/>
  <c r="P101" i="1"/>
  <c r="P102" i="1"/>
  <c r="P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Q17" i="1" s="1"/>
  <c r="K18" i="1"/>
  <c r="K19" i="1"/>
  <c r="Q19" i="1" s="1"/>
  <c r="K20" i="1"/>
  <c r="Q20" i="1" s="1"/>
  <c r="K21" i="1"/>
  <c r="K22" i="1"/>
  <c r="K2" i="1" s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Q49" i="1" s="1"/>
  <c r="K50" i="1"/>
  <c r="K51" i="1"/>
  <c r="Q51" i="1" s="1"/>
  <c r="K52" i="1"/>
  <c r="Q52" i="1" s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Q81" i="1" s="1"/>
  <c r="K82" i="1"/>
  <c r="K83" i="1"/>
  <c r="Q83" i="1" s="1"/>
  <c r="K84" i="1"/>
  <c r="Q84" i="1" s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24" i="1"/>
  <c r="Q25" i="1"/>
  <c r="Q26" i="1"/>
  <c r="Q27" i="1"/>
  <c r="Q28" i="1"/>
  <c r="Q36" i="1"/>
  <c r="Q38" i="1"/>
  <c r="Q39" i="1"/>
  <c r="Q40" i="1"/>
  <c r="Q68" i="1"/>
  <c r="Q70" i="1"/>
  <c r="Q71" i="1"/>
  <c r="Q72" i="1"/>
  <c r="Q74" i="1"/>
  <c r="Q75" i="1"/>
  <c r="Q76" i="1"/>
  <c r="Q78" i="1"/>
  <c r="Q79" i="1"/>
  <c r="Q100" i="1"/>
  <c r="Q101" i="1"/>
  <c r="Q102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J2" i="1" s="1"/>
  <c r="I7" i="1"/>
  <c r="I2" i="1" s="1"/>
  <c r="J6" i="1"/>
  <c r="I6" i="1"/>
  <c r="J5" i="1"/>
  <c r="I5" i="1"/>
  <c r="J4" i="1"/>
  <c r="I4" i="1"/>
  <c r="K3" i="1"/>
  <c r="J3" i="1"/>
  <c r="I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Q82" i="1" l="1"/>
  <c r="Q50" i="1"/>
  <c r="Q18" i="1"/>
  <c r="Q42" i="1"/>
  <c r="Q93" i="1"/>
  <c r="Q61" i="1"/>
  <c r="Q29" i="1"/>
  <c r="Q96" i="1"/>
  <c r="Q64" i="1"/>
  <c r="Q32" i="1"/>
  <c r="Q95" i="1"/>
  <c r="Q63" i="1"/>
  <c r="Q31" i="1"/>
  <c r="Q94" i="1"/>
  <c r="Q62" i="1"/>
  <c r="Q30" i="1"/>
  <c r="Q87" i="1"/>
  <c r="Q55" i="1"/>
  <c r="Q23" i="1"/>
  <c r="Q86" i="1"/>
  <c r="Q54" i="1"/>
  <c r="Q85" i="1"/>
  <c r="Q53" i="1"/>
  <c r="Q21" i="1"/>
  <c r="Q60" i="1"/>
  <c r="Q58" i="1"/>
  <c r="Q59" i="1"/>
  <c r="Q57" i="1"/>
  <c r="Q48" i="1"/>
  <c r="Q47" i="1"/>
  <c r="Q46" i="1"/>
  <c r="Q56" i="1"/>
  <c r="Q45" i="1"/>
  <c r="Q99" i="1"/>
  <c r="Q67" i="1"/>
  <c r="Q35" i="1"/>
  <c r="Q44" i="1"/>
  <c r="Q98" i="1"/>
  <c r="Q66" i="1"/>
  <c r="Q34" i="1"/>
  <c r="Q43" i="1"/>
  <c r="Q97" i="1"/>
  <c r="Q65" i="1"/>
  <c r="Q33" i="1"/>
  <c r="Q22" i="1"/>
  <c r="P2" i="1"/>
  <c r="O2" i="1"/>
  <c r="H2" i="1"/>
  <c r="D2" i="1"/>
  <c r="Q2" i="1" l="1"/>
</calcChain>
</file>

<file path=xl/sharedStrings.xml><?xml version="1.0" encoding="utf-8"?>
<sst xmlns="http://schemas.openxmlformats.org/spreadsheetml/2006/main" count="106" uniqueCount="104">
  <si>
    <t>Path(['drop_duplicates_mean', 'Xmean']A)</t>
  </si>
  <si>
    <t>Path(['drop_duplicates_mean', 'Xmean']B)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</si>
  <si>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</si>
  <si>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</si>
  <si>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</si>
  <si>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</si>
  <si>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</si>
  <si>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</si>
  <si>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</si>
  <si>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</si>
  <si>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</si>
  <si>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</si>
  <si>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</si>
  <si>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</si>
  <si>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</si>
  <si>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</si>
  <si>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</si>
  <si>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</si>
  <si>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</si>
  <si>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</si>
  <si>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</si>
  <si>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</si>
  <si>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</si>
  <si>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</si>
  <si>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</si>
  <si>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</si>
  <si>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</si>
  <si>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</si>
  <si>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</si>
  <si>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</si>
  <si>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</si>
  <si>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</si>
  <si>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</si>
  <si>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</si>
  <si>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</si>
  <si>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</si>
  <si>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</si>
  <si>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</si>
  <si>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</si>
  <si>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</si>
  <si>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</si>
  <si>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</si>
  <si>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</si>
  <si>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</si>
  <si>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</si>
  <si>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</si>
  <si>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</si>
  <si>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</si>
  <si>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</si>
  <si>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</si>
  <si>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</si>
  <si>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</si>
  <si>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</si>
  <si>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</si>
  <si>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</si>
  <si>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</si>
  <si>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</si>
  <si>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</si>
  <si>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</si>
  <si>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</si>
  <si>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</si>
  <si>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</si>
  <si>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</si>
  <si>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</si>
  <si>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</si>
  <si>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</si>
  <si>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</si>
  <si>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</si>
  <si>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</si>
  <si>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</si>
  <si>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</si>
  <si>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</si>
  <si>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</si>
  <si>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</si>
  <si>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</si>
  <si>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</si>
  <si>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</si>
  <si>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</si>
  <si>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</si>
  <si>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</si>
  <si>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</si>
  <si>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</si>
  <si>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</si>
  <si>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</si>
  <si>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</si>
  <si>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</si>
  <si>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</si>
  <si>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</si>
  <si>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</si>
  <si>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</si>
  <si>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</si>
  <si>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</si>
  <si>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</si>
  <si>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</si>
  <si>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</si>
  <si>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</si>
  <si>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</si>
  <si>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</si>
  <si>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</si>
  <si>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</si>
  <si>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</si>
  <si>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</si>
  <si>
    <t>A-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</si>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</sst>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2"/>
  <sheetViews>
    <sheetView tabSelected="1" topLeftCell="D1" zoomScaleNormal="100" workbookViewId="0">
      <selection activeCell="O3" sqref="O3:O102"/>
    </sheetView>
  </sheetViews>
  <sheetFormatPr defaultRowHeight="14.5" x14ac:dyDescent="0.35"/>
  <cols>
    <col min="1" max="1" width="8.81640625" bestFit="1" customWidth="1"/>
    <col min="2" max="2" width="36.90625" bestFit="1" customWidth="1"/>
    <col min="3" max="3" width="36.81640625" bestFit="1" customWidth="1"/>
    <col min="4" max="5" width="5.08984375" customWidth="1"/>
    <col min="6" max="6" width="36.81640625" bestFit="1" customWidth="1"/>
    <col min="7" max="7" width="36.90625" bestFit="1" customWidth="1"/>
    <col min="11" max="11" width="13.36328125" customWidth="1"/>
  </cols>
  <sheetData>
    <row r="2" spans="1:17" x14ac:dyDescent="0.35">
      <c r="B2" s="1" t="s">
        <v>0</v>
      </c>
      <c r="C2" s="1" t="s">
        <v>1</v>
      </c>
      <c r="D2">
        <f>SUM(D3:D102)</f>
        <v>37</v>
      </c>
      <c r="F2" s="1" t="s">
        <v>1</v>
      </c>
      <c r="G2" s="1" t="s">
        <v>0</v>
      </c>
      <c r="H2">
        <f>SUM(H3:H102)</f>
        <v>97</v>
      </c>
      <c r="I2">
        <f>SUM(I3:I102)</f>
        <v>37</v>
      </c>
      <c r="J2">
        <f>SUM(J3:J102)</f>
        <v>3</v>
      </c>
      <c r="K2">
        <f>SUM(K3:K102)</f>
        <v>60</v>
      </c>
      <c r="M2" t="s">
        <v>102</v>
      </c>
      <c r="N2" t="s">
        <v>103</v>
      </c>
      <c r="O2">
        <f>SUM(O3:O102)</f>
        <v>22</v>
      </c>
      <c r="P2">
        <f>SUM(P3:P102)</f>
        <v>24</v>
      </c>
      <c r="Q2">
        <f>SUM(Q3:Q102)</f>
        <v>0</v>
      </c>
    </row>
    <row r="3" spans="1:17" x14ac:dyDescent="0.35">
      <c r="A3" s="1" t="s">
        <v>2</v>
      </c>
      <c r="B3">
        <v>38763.537469630654</v>
      </c>
      <c r="C3">
        <v>45558.889886497687</v>
      </c>
      <c r="D3">
        <f>IF(B3&lt;C3,1,0)</f>
        <v>1</v>
      </c>
      <c r="F3">
        <v>493974.66735416808</v>
      </c>
      <c r="G3">
        <v>59497.183067223828</v>
      </c>
      <c r="H3">
        <f>IF(F3&gt;G3,1,0)</f>
        <v>1</v>
      </c>
      <c r="I3">
        <f>IF(D3+H3=2,1,0)</f>
        <v>1</v>
      </c>
      <c r="J3">
        <f>IF(D3+H3=0,1,0)</f>
        <v>0</v>
      </c>
      <c r="K3">
        <f>IF(D3+H3=1,1,0)</f>
        <v>0</v>
      </c>
      <c r="M3">
        <f>ABS(B3-C3)</f>
        <v>6795.3524168670338</v>
      </c>
      <c r="N3">
        <f>ABS(F3-G3)</f>
        <v>434477.48428694427</v>
      </c>
      <c r="O3">
        <f>IF(AND(K3=1, (M3-N3)&gt;N3*0.5),1,0)</f>
        <v>0</v>
      </c>
      <c r="P3">
        <f>IF(AND(K3=1, (N3-M3)&gt;M3*0.5),1,0)</f>
        <v>0</v>
      </c>
      <c r="Q3">
        <f>IF(AND(O3=1,P3=1),1,0)</f>
        <v>0</v>
      </c>
    </row>
    <row r="4" spans="1:17" x14ac:dyDescent="0.35">
      <c r="A4" s="1" t="s">
        <v>3</v>
      </c>
      <c r="B4">
        <v>479804.76594252349</v>
      </c>
      <c r="C4">
        <v>226165.26015632899</v>
      </c>
      <c r="D4">
        <f t="shared" ref="D4:D67" si="0">IF(B4&lt;C4,1,0)</f>
        <v>0</v>
      </c>
      <c r="F4">
        <v>615427.39245391707</v>
      </c>
      <c r="G4">
        <v>374156.29847670248</v>
      </c>
      <c r="H4">
        <f t="shared" ref="H4:H67" si="1">IF(F4&gt;G4,1,0)</f>
        <v>1</v>
      </c>
      <c r="I4">
        <f t="shared" ref="I4:I67" si="2">IF(D4+H4=2,1,0)</f>
        <v>0</v>
      </c>
      <c r="J4">
        <f t="shared" ref="J4:J67" si="3">IF(D4+H4=0,1,0)</f>
        <v>0</v>
      </c>
      <c r="K4">
        <f t="shared" ref="K4:K67" si="4">IF(D4+H4=1,1,0)</f>
        <v>1</v>
      </c>
      <c r="M4">
        <f t="shared" ref="M4:M67" si="5">ABS(B4-C4)</f>
        <v>253639.5057861945</v>
      </c>
      <c r="N4">
        <f t="shared" ref="N4:N67" si="6">ABS(F4-G4)</f>
        <v>241271.09397721459</v>
      </c>
      <c r="O4">
        <f t="shared" ref="O4:O67" si="7">IF(AND(K4=1, (M4-N4)&gt;N4*0.5),1,0)</f>
        <v>0</v>
      </c>
      <c r="P4">
        <f t="shared" ref="P4:P67" si="8">IF(AND(K4=1, (N4-M4)&gt;M4*0.5),1,0)</f>
        <v>0</v>
      </c>
      <c r="Q4">
        <f t="shared" ref="Q4:Q67" si="9">IF(AND(O4=1,P4=1),1,0)</f>
        <v>0</v>
      </c>
    </row>
    <row r="5" spans="1:17" x14ac:dyDescent="0.35">
      <c r="A5" s="1" t="s">
        <v>4</v>
      </c>
      <c r="B5">
        <v>94.59375</v>
      </c>
      <c r="C5">
        <v>12666.64053967082</v>
      </c>
      <c r="D5">
        <f t="shared" si="0"/>
        <v>1</v>
      </c>
      <c r="F5">
        <v>580820.98779761908</v>
      </c>
      <c r="G5">
        <v>1377.3311413454271</v>
      </c>
      <c r="H5">
        <f t="shared" si="1"/>
        <v>1</v>
      </c>
      <c r="I5">
        <f t="shared" si="2"/>
        <v>1</v>
      </c>
      <c r="J5">
        <f t="shared" si="3"/>
        <v>0</v>
      </c>
      <c r="K5">
        <f t="shared" si="4"/>
        <v>0</v>
      </c>
      <c r="M5">
        <f t="shared" si="5"/>
        <v>12572.04678967082</v>
      </c>
      <c r="N5">
        <f t="shared" si="6"/>
        <v>579443.65665627364</v>
      </c>
      <c r="O5">
        <f t="shared" si="7"/>
        <v>0</v>
      </c>
      <c r="P5">
        <f t="shared" si="8"/>
        <v>0</v>
      </c>
      <c r="Q5">
        <f t="shared" si="9"/>
        <v>0</v>
      </c>
    </row>
    <row r="6" spans="1:17" x14ac:dyDescent="0.35">
      <c r="A6" s="1" t="s">
        <v>5</v>
      </c>
      <c r="B6">
        <v>630743.51375073486</v>
      </c>
      <c r="C6">
        <v>209486.35249265141</v>
      </c>
      <c r="D6">
        <f t="shared" si="0"/>
        <v>0</v>
      </c>
      <c r="F6">
        <v>534202.98520760471</v>
      </c>
      <c r="G6">
        <v>428172.40793426603</v>
      </c>
      <c r="H6">
        <f t="shared" si="1"/>
        <v>1</v>
      </c>
      <c r="I6">
        <f t="shared" si="2"/>
        <v>0</v>
      </c>
      <c r="J6">
        <f t="shared" si="3"/>
        <v>0</v>
      </c>
      <c r="K6">
        <f t="shared" si="4"/>
        <v>1</v>
      </c>
      <c r="M6">
        <f t="shared" si="5"/>
        <v>421257.16125808342</v>
      </c>
      <c r="N6">
        <f t="shared" si="6"/>
        <v>106030.57727333868</v>
      </c>
      <c r="O6">
        <f t="shared" si="7"/>
        <v>1</v>
      </c>
      <c r="P6">
        <f t="shared" si="8"/>
        <v>0</v>
      </c>
      <c r="Q6">
        <f t="shared" si="9"/>
        <v>0</v>
      </c>
    </row>
    <row r="7" spans="1:17" x14ac:dyDescent="0.35">
      <c r="A7" s="1" t="s">
        <v>6</v>
      </c>
      <c r="B7">
        <v>122.43103448275861</v>
      </c>
      <c r="C7">
        <v>11495.313377469751</v>
      </c>
      <c r="D7">
        <f t="shared" si="0"/>
        <v>1</v>
      </c>
      <c r="F7">
        <v>626951.36607744102</v>
      </c>
      <c r="G7">
        <v>1284.5130651755651</v>
      </c>
      <c r="H7">
        <f t="shared" si="1"/>
        <v>1</v>
      </c>
      <c r="I7">
        <f t="shared" si="2"/>
        <v>1</v>
      </c>
      <c r="J7">
        <f t="shared" si="3"/>
        <v>0</v>
      </c>
      <c r="K7">
        <f t="shared" si="4"/>
        <v>0</v>
      </c>
      <c r="M7">
        <f t="shared" si="5"/>
        <v>11372.882342986992</v>
      </c>
      <c r="N7">
        <f t="shared" si="6"/>
        <v>625666.8530122654</v>
      </c>
      <c r="O7">
        <f t="shared" si="7"/>
        <v>0</v>
      </c>
      <c r="P7">
        <f t="shared" si="8"/>
        <v>0</v>
      </c>
      <c r="Q7">
        <f t="shared" si="9"/>
        <v>0</v>
      </c>
    </row>
    <row r="8" spans="1:17" x14ac:dyDescent="0.35">
      <c r="A8" s="1" t="s">
        <v>7</v>
      </c>
      <c r="B8">
        <v>817947.38177614589</v>
      </c>
      <c r="C8">
        <v>276885.01545417903</v>
      </c>
      <c r="D8">
        <f t="shared" si="0"/>
        <v>0</v>
      </c>
      <c r="F8">
        <v>655630.4066588782</v>
      </c>
      <c r="G8">
        <v>382835.58126453892</v>
      </c>
      <c r="H8">
        <f t="shared" si="1"/>
        <v>1</v>
      </c>
      <c r="I8">
        <f t="shared" si="2"/>
        <v>0</v>
      </c>
      <c r="J8">
        <f t="shared" si="3"/>
        <v>0</v>
      </c>
      <c r="K8">
        <f t="shared" si="4"/>
        <v>1</v>
      </c>
      <c r="M8">
        <f t="shared" si="5"/>
        <v>541062.36632196687</v>
      </c>
      <c r="N8">
        <f t="shared" si="6"/>
        <v>272794.82539433928</v>
      </c>
      <c r="O8">
        <f t="shared" si="7"/>
        <v>1</v>
      </c>
      <c r="P8">
        <f t="shared" si="8"/>
        <v>0</v>
      </c>
      <c r="Q8">
        <f t="shared" si="9"/>
        <v>0</v>
      </c>
    </row>
    <row r="9" spans="1:17" x14ac:dyDescent="0.35">
      <c r="A9" s="1" t="s">
        <v>8</v>
      </c>
      <c r="B9">
        <v>513919.4283712703</v>
      </c>
      <c r="C9">
        <v>290707.43126076442</v>
      </c>
      <c r="D9">
        <f t="shared" si="0"/>
        <v>0</v>
      </c>
      <c r="F9">
        <v>745242.38164794003</v>
      </c>
      <c r="G9">
        <v>361427.30537453177</v>
      </c>
      <c r="H9">
        <f t="shared" si="1"/>
        <v>1</v>
      </c>
      <c r="I9">
        <f t="shared" si="2"/>
        <v>0</v>
      </c>
      <c r="J9">
        <f t="shared" si="3"/>
        <v>0</v>
      </c>
      <c r="K9">
        <f t="shared" si="4"/>
        <v>1</v>
      </c>
      <c r="M9">
        <f t="shared" si="5"/>
        <v>223211.99711050588</v>
      </c>
      <c r="N9">
        <f t="shared" si="6"/>
        <v>383815.07627340825</v>
      </c>
      <c r="O9">
        <f t="shared" si="7"/>
        <v>0</v>
      </c>
      <c r="P9">
        <f t="shared" si="8"/>
        <v>1</v>
      </c>
      <c r="Q9">
        <f t="shared" si="9"/>
        <v>0</v>
      </c>
    </row>
    <row r="10" spans="1:17" x14ac:dyDescent="0.35">
      <c r="A10" s="1" t="s">
        <v>9</v>
      </c>
      <c r="B10">
        <v>772478.14426155237</v>
      </c>
      <c r="C10">
        <v>494784.87182791368</v>
      </c>
      <c r="D10">
        <f t="shared" si="0"/>
        <v>0</v>
      </c>
      <c r="F10">
        <v>53940.5</v>
      </c>
      <c r="G10">
        <v>4940.1735968023258</v>
      </c>
      <c r="H10">
        <f t="shared" si="1"/>
        <v>1</v>
      </c>
      <c r="I10">
        <f t="shared" si="2"/>
        <v>0</v>
      </c>
      <c r="J10">
        <f t="shared" si="3"/>
        <v>0</v>
      </c>
      <c r="K10">
        <f t="shared" si="4"/>
        <v>1</v>
      </c>
      <c r="M10">
        <f t="shared" si="5"/>
        <v>277693.27243363869</v>
      </c>
      <c r="N10">
        <f t="shared" si="6"/>
        <v>49000.326403197672</v>
      </c>
      <c r="O10">
        <f t="shared" si="7"/>
        <v>1</v>
      </c>
      <c r="P10">
        <f t="shared" si="8"/>
        <v>0</v>
      </c>
      <c r="Q10">
        <f t="shared" si="9"/>
        <v>0</v>
      </c>
    </row>
    <row r="11" spans="1:17" x14ac:dyDescent="0.35">
      <c r="A11" s="1" t="s">
        <v>10</v>
      </c>
      <c r="B11">
        <v>732652.80377090233</v>
      </c>
      <c r="C11">
        <v>398274.13089086732</v>
      </c>
      <c r="D11">
        <f t="shared" si="0"/>
        <v>0</v>
      </c>
      <c r="F11">
        <v>984149.06757557788</v>
      </c>
      <c r="G11">
        <v>514434.57413444872</v>
      </c>
      <c r="H11">
        <f t="shared" si="1"/>
        <v>1</v>
      </c>
      <c r="I11">
        <f t="shared" si="2"/>
        <v>0</v>
      </c>
      <c r="J11">
        <f t="shared" si="3"/>
        <v>0</v>
      </c>
      <c r="K11">
        <f t="shared" si="4"/>
        <v>1</v>
      </c>
      <c r="M11">
        <f t="shared" si="5"/>
        <v>334378.67288003501</v>
      </c>
      <c r="N11">
        <f t="shared" si="6"/>
        <v>469714.49344112916</v>
      </c>
      <c r="O11">
        <f t="shared" si="7"/>
        <v>0</v>
      </c>
      <c r="P11">
        <f t="shared" si="8"/>
        <v>0</v>
      </c>
      <c r="Q11">
        <f t="shared" si="9"/>
        <v>0</v>
      </c>
    </row>
    <row r="12" spans="1:17" x14ac:dyDescent="0.35">
      <c r="A12" s="1" t="s">
        <v>11</v>
      </c>
      <c r="B12">
        <v>8185.4553571428569</v>
      </c>
      <c r="C12">
        <v>36052.979062950937</v>
      </c>
      <c r="D12">
        <f t="shared" si="0"/>
        <v>1</v>
      </c>
      <c r="F12">
        <v>177556.3660254126</v>
      </c>
      <c r="G12">
        <v>7453.7752493765593</v>
      </c>
      <c r="H12">
        <f t="shared" si="1"/>
        <v>1</v>
      </c>
      <c r="I12">
        <f t="shared" si="2"/>
        <v>1</v>
      </c>
      <c r="J12">
        <f t="shared" si="3"/>
        <v>0</v>
      </c>
      <c r="K12">
        <f t="shared" si="4"/>
        <v>0</v>
      </c>
      <c r="M12">
        <f t="shared" si="5"/>
        <v>27867.523705808082</v>
      </c>
      <c r="N12">
        <f t="shared" si="6"/>
        <v>170102.59077603603</v>
      </c>
      <c r="O12">
        <f t="shared" si="7"/>
        <v>0</v>
      </c>
      <c r="P12">
        <f t="shared" si="8"/>
        <v>0</v>
      </c>
      <c r="Q12">
        <f t="shared" si="9"/>
        <v>0</v>
      </c>
    </row>
    <row r="13" spans="1:17" x14ac:dyDescent="0.35">
      <c r="A13" s="1" t="s">
        <v>12</v>
      </c>
      <c r="B13">
        <v>123.4166666666667</v>
      </c>
      <c r="C13">
        <v>11022.136563142771</v>
      </c>
      <c r="D13">
        <f t="shared" si="0"/>
        <v>1</v>
      </c>
      <c r="F13">
        <v>926847.41115836881</v>
      </c>
      <c r="G13">
        <v>1341.2774532288111</v>
      </c>
      <c r="H13">
        <f t="shared" si="1"/>
        <v>1</v>
      </c>
      <c r="I13">
        <f t="shared" si="2"/>
        <v>1</v>
      </c>
      <c r="J13">
        <f t="shared" si="3"/>
        <v>0</v>
      </c>
      <c r="K13">
        <f t="shared" si="4"/>
        <v>0</v>
      </c>
      <c r="M13">
        <f t="shared" si="5"/>
        <v>10898.719896476105</v>
      </c>
      <c r="N13">
        <f t="shared" si="6"/>
        <v>925506.13370513998</v>
      </c>
      <c r="O13">
        <f t="shared" si="7"/>
        <v>0</v>
      </c>
      <c r="P13">
        <f t="shared" si="8"/>
        <v>0</v>
      </c>
      <c r="Q13">
        <f t="shared" si="9"/>
        <v>0</v>
      </c>
    </row>
    <row r="14" spans="1:17" x14ac:dyDescent="0.35">
      <c r="A14" s="1" t="s">
        <v>13</v>
      </c>
      <c r="B14">
        <v>526817.39248407097</v>
      </c>
      <c r="C14">
        <v>189905.6734595492</v>
      </c>
      <c r="D14">
        <f t="shared" si="0"/>
        <v>0</v>
      </c>
      <c r="F14">
        <v>421795.8344984802</v>
      </c>
      <c r="G14">
        <v>393756.09012338967</v>
      </c>
      <c r="H14">
        <f t="shared" si="1"/>
        <v>1</v>
      </c>
      <c r="I14">
        <f t="shared" si="2"/>
        <v>0</v>
      </c>
      <c r="J14">
        <f t="shared" si="3"/>
        <v>0</v>
      </c>
      <c r="K14">
        <f t="shared" si="4"/>
        <v>1</v>
      </c>
      <c r="M14">
        <f t="shared" si="5"/>
        <v>336911.71902452176</v>
      </c>
      <c r="N14">
        <f t="shared" si="6"/>
        <v>28039.744375090522</v>
      </c>
      <c r="O14">
        <f t="shared" si="7"/>
        <v>1</v>
      </c>
      <c r="P14">
        <f t="shared" si="8"/>
        <v>0</v>
      </c>
      <c r="Q14">
        <f t="shared" si="9"/>
        <v>0</v>
      </c>
    </row>
    <row r="15" spans="1:17" x14ac:dyDescent="0.35">
      <c r="A15" s="1" t="s">
        <v>14</v>
      </c>
      <c r="B15">
        <v>45.5</v>
      </c>
      <c r="C15">
        <v>3066.1964763481651</v>
      </c>
      <c r="D15">
        <f t="shared" si="0"/>
        <v>1</v>
      </c>
      <c r="F15">
        <v>576298.95573126734</v>
      </c>
      <c r="G15">
        <v>969.14037319175134</v>
      </c>
      <c r="H15">
        <f t="shared" si="1"/>
        <v>1</v>
      </c>
      <c r="I15">
        <f t="shared" si="2"/>
        <v>1</v>
      </c>
      <c r="J15">
        <f t="shared" si="3"/>
        <v>0</v>
      </c>
      <c r="K15">
        <f t="shared" si="4"/>
        <v>0</v>
      </c>
      <c r="M15">
        <f t="shared" si="5"/>
        <v>3020.6964763481651</v>
      </c>
      <c r="N15">
        <f t="shared" si="6"/>
        <v>575329.81535807555</v>
      </c>
      <c r="O15">
        <f t="shared" si="7"/>
        <v>0</v>
      </c>
      <c r="P15">
        <f t="shared" si="8"/>
        <v>0</v>
      </c>
      <c r="Q15">
        <f t="shared" si="9"/>
        <v>0</v>
      </c>
    </row>
    <row r="16" spans="1:17" x14ac:dyDescent="0.35">
      <c r="A16" s="1" t="s">
        <v>15</v>
      </c>
      <c r="B16">
        <v>22521.471496212122</v>
      </c>
      <c r="C16">
        <v>155577.13530572961</v>
      </c>
      <c r="D16">
        <f t="shared" si="0"/>
        <v>1</v>
      </c>
      <c r="F16">
        <v>936131.41452693311</v>
      </c>
      <c r="G16">
        <v>42204.640540978296</v>
      </c>
      <c r="H16">
        <f t="shared" si="1"/>
        <v>1</v>
      </c>
      <c r="I16">
        <f t="shared" si="2"/>
        <v>1</v>
      </c>
      <c r="J16">
        <f t="shared" si="3"/>
        <v>0</v>
      </c>
      <c r="K16">
        <f t="shared" si="4"/>
        <v>0</v>
      </c>
      <c r="M16">
        <f t="shared" si="5"/>
        <v>133055.66380951749</v>
      </c>
      <c r="N16">
        <f t="shared" si="6"/>
        <v>893926.77398595482</v>
      </c>
      <c r="O16">
        <f t="shared" si="7"/>
        <v>0</v>
      </c>
      <c r="P16">
        <f t="shared" si="8"/>
        <v>0</v>
      </c>
      <c r="Q16">
        <f t="shared" si="9"/>
        <v>0</v>
      </c>
    </row>
    <row r="17" spans="1:17" x14ac:dyDescent="0.35">
      <c r="A17" s="1" t="s">
        <v>16</v>
      </c>
      <c r="B17">
        <v>647199.74585720955</v>
      </c>
      <c r="C17">
        <v>287349.3869396901</v>
      </c>
      <c r="D17">
        <f t="shared" si="0"/>
        <v>0</v>
      </c>
      <c r="F17">
        <v>750421.7575083765</v>
      </c>
      <c r="G17">
        <v>455777.30497258599</v>
      </c>
      <c r="H17">
        <f t="shared" si="1"/>
        <v>1</v>
      </c>
      <c r="I17">
        <f t="shared" si="2"/>
        <v>0</v>
      </c>
      <c r="J17">
        <f t="shared" si="3"/>
        <v>0</v>
      </c>
      <c r="K17">
        <f t="shared" si="4"/>
        <v>1</v>
      </c>
      <c r="M17">
        <f t="shared" si="5"/>
        <v>359850.35891751945</v>
      </c>
      <c r="N17">
        <f t="shared" si="6"/>
        <v>294644.45253579051</v>
      </c>
      <c r="O17">
        <f t="shared" si="7"/>
        <v>0</v>
      </c>
      <c r="P17">
        <f t="shared" si="8"/>
        <v>0</v>
      </c>
      <c r="Q17">
        <f t="shared" si="9"/>
        <v>0</v>
      </c>
    </row>
    <row r="18" spans="1:17" x14ac:dyDescent="0.35">
      <c r="A18" s="1" t="s">
        <v>17</v>
      </c>
      <c r="B18">
        <v>105796.9791208791</v>
      </c>
      <c r="C18">
        <v>61677.981247968637</v>
      </c>
      <c r="D18">
        <f t="shared" si="0"/>
        <v>0</v>
      </c>
      <c r="F18">
        <v>360314.05878093361</v>
      </c>
      <c r="G18">
        <v>161607.74825490569</v>
      </c>
      <c r="H18">
        <f t="shared" si="1"/>
        <v>1</v>
      </c>
      <c r="I18">
        <f t="shared" si="2"/>
        <v>0</v>
      </c>
      <c r="J18">
        <f t="shared" si="3"/>
        <v>0</v>
      </c>
      <c r="K18">
        <f t="shared" si="4"/>
        <v>1</v>
      </c>
      <c r="M18">
        <f t="shared" si="5"/>
        <v>44118.997872910462</v>
      </c>
      <c r="N18">
        <f t="shared" si="6"/>
        <v>198706.31052602793</v>
      </c>
      <c r="O18">
        <f t="shared" si="7"/>
        <v>0</v>
      </c>
      <c r="P18">
        <f t="shared" si="8"/>
        <v>1</v>
      </c>
      <c r="Q18">
        <f t="shared" si="9"/>
        <v>0</v>
      </c>
    </row>
    <row r="19" spans="1:17" x14ac:dyDescent="0.35">
      <c r="A19" s="1" t="s">
        <v>18</v>
      </c>
      <c r="B19">
        <v>470156.30771982868</v>
      </c>
      <c r="C19">
        <v>184387.65133282941</v>
      </c>
      <c r="D19">
        <f t="shared" si="0"/>
        <v>0</v>
      </c>
      <c r="F19">
        <v>485453.34012345679</v>
      </c>
      <c r="G19">
        <v>381658.06437757198</v>
      </c>
      <c r="H19">
        <f t="shared" si="1"/>
        <v>1</v>
      </c>
      <c r="I19">
        <f t="shared" si="2"/>
        <v>0</v>
      </c>
      <c r="J19">
        <f t="shared" si="3"/>
        <v>0</v>
      </c>
      <c r="K19">
        <f t="shared" si="4"/>
        <v>1</v>
      </c>
      <c r="M19">
        <f t="shared" si="5"/>
        <v>285768.6563869993</v>
      </c>
      <c r="N19">
        <f t="shared" si="6"/>
        <v>103795.27574588481</v>
      </c>
      <c r="O19">
        <f t="shared" si="7"/>
        <v>1</v>
      </c>
      <c r="P19">
        <f t="shared" si="8"/>
        <v>0</v>
      </c>
      <c r="Q19">
        <f t="shared" si="9"/>
        <v>0</v>
      </c>
    </row>
    <row r="20" spans="1:17" x14ac:dyDescent="0.35">
      <c r="A20" s="1" t="s">
        <v>19</v>
      </c>
      <c r="B20">
        <v>382134.11751294677</v>
      </c>
      <c r="C20">
        <v>346101.56974127411</v>
      </c>
      <c r="D20">
        <f t="shared" si="0"/>
        <v>0</v>
      </c>
      <c r="F20">
        <v>819397.71794835816</v>
      </c>
      <c r="G20">
        <v>320685.49879549071</v>
      </c>
      <c r="H20">
        <f t="shared" si="1"/>
        <v>1</v>
      </c>
      <c r="I20">
        <f t="shared" si="2"/>
        <v>0</v>
      </c>
      <c r="J20">
        <f t="shared" si="3"/>
        <v>0</v>
      </c>
      <c r="K20">
        <f t="shared" si="4"/>
        <v>1</v>
      </c>
      <c r="M20">
        <f t="shared" si="5"/>
        <v>36032.54777167266</v>
      </c>
      <c r="N20">
        <f t="shared" si="6"/>
        <v>498712.21915286744</v>
      </c>
      <c r="O20">
        <f t="shared" si="7"/>
        <v>0</v>
      </c>
      <c r="P20">
        <f t="shared" si="8"/>
        <v>1</v>
      </c>
      <c r="Q20">
        <f t="shared" si="9"/>
        <v>0</v>
      </c>
    </row>
    <row r="21" spans="1:17" x14ac:dyDescent="0.35">
      <c r="A21" s="1" t="s">
        <v>20</v>
      </c>
      <c r="B21">
        <v>745823.99443666358</v>
      </c>
      <c r="C21">
        <v>203299.36621309581</v>
      </c>
      <c r="D21">
        <f t="shared" si="0"/>
        <v>0</v>
      </c>
      <c r="F21">
        <v>614980.38463391131</v>
      </c>
      <c r="G21">
        <v>526936.06717646122</v>
      </c>
      <c r="H21">
        <f t="shared" si="1"/>
        <v>1</v>
      </c>
      <c r="I21">
        <f t="shared" si="2"/>
        <v>0</v>
      </c>
      <c r="J21">
        <f t="shared" si="3"/>
        <v>0</v>
      </c>
      <c r="K21">
        <f t="shared" si="4"/>
        <v>1</v>
      </c>
      <c r="M21">
        <f t="shared" si="5"/>
        <v>542524.62822356774</v>
      </c>
      <c r="N21">
        <f t="shared" si="6"/>
        <v>88044.317457450088</v>
      </c>
      <c r="O21">
        <f t="shared" si="7"/>
        <v>1</v>
      </c>
      <c r="P21">
        <f t="shared" si="8"/>
        <v>0</v>
      </c>
      <c r="Q21">
        <f t="shared" si="9"/>
        <v>0</v>
      </c>
    </row>
    <row r="22" spans="1:17" x14ac:dyDescent="0.35">
      <c r="A22" s="1" t="s">
        <v>21</v>
      </c>
      <c r="B22">
        <v>479330.11124124279</v>
      </c>
      <c r="C22">
        <v>260175.1718592376</v>
      </c>
      <c r="D22">
        <f t="shared" si="0"/>
        <v>0</v>
      </c>
      <c r="F22">
        <v>512639.27076598222</v>
      </c>
      <c r="G22">
        <v>235389.81031503319</v>
      </c>
      <c r="H22">
        <f t="shared" si="1"/>
        <v>1</v>
      </c>
      <c r="I22">
        <f t="shared" si="2"/>
        <v>0</v>
      </c>
      <c r="J22">
        <f t="shared" si="3"/>
        <v>0</v>
      </c>
      <c r="K22">
        <f t="shared" si="4"/>
        <v>1</v>
      </c>
      <c r="M22">
        <f t="shared" si="5"/>
        <v>219154.93938200519</v>
      </c>
      <c r="N22">
        <f t="shared" si="6"/>
        <v>277249.46045094903</v>
      </c>
      <c r="O22">
        <f t="shared" si="7"/>
        <v>0</v>
      </c>
      <c r="P22">
        <f t="shared" si="8"/>
        <v>0</v>
      </c>
      <c r="Q22">
        <f t="shared" si="9"/>
        <v>0</v>
      </c>
    </row>
    <row r="23" spans="1:17" x14ac:dyDescent="0.35">
      <c r="A23" s="1" t="s">
        <v>22</v>
      </c>
      <c r="B23">
        <v>268083.76389052422</v>
      </c>
      <c r="C23">
        <v>164487.62206875469</v>
      </c>
      <c r="D23">
        <f t="shared" si="0"/>
        <v>0</v>
      </c>
      <c r="F23">
        <v>752394.69541308726</v>
      </c>
      <c r="G23">
        <v>255822.93479071659</v>
      </c>
      <c r="H23">
        <f t="shared" si="1"/>
        <v>1</v>
      </c>
      <c r="I23">
        <f t="shared" si="2"/>
        <v>0</v>
      </c>
      <c r="J23">
        <f t="shared" si="3"/>
        <v>0</v>
      </c>
      <c r="K23">
        <f t="shared" si="4"/>
        <v>1</v>
      </c>
      <c r="M23">
        <f t="shared" si="5"/>
        <v>103596.14182176953</v>
      </c>
      <c r="N23">
        <f t="shared" si="6"/>
        <v>496571.76062237064</v>
      </c>
      <c r="O23">
        <f t="shared" si="7"/>
        <v>0</v>
      </c>
      <c r="P23">
        <f t="shared" si="8"/>
        <v>1</v>
      </c>
      <c r="Q23">
        <f t="shared" si="9"/>
        <v>0</v>
      </c>
    </row>
    <row r="24" spans="1:17" x14ac:dyDescent="0.35">
      <c r="A24" s="1" t="s">
        <v>23</v>
      </c>
      <c r="B24">
        <v>53.981481481481481</v>
      </c>
      <c r="C24">
        <v>12109.75552965623</v>
      </c>
      <c r="D24">
        <f t="shared" si="0"/>
        <v>1</v>
      </c>
      <c r="F24">
        <v>161714.43213572851</v>
      </c>
      <c r="G24">
        <v>574.72622611919019</v>
      </c>
      <c r="H24">
        <f t="shared" si="1"/>
        <v>1</v>
      </c>
      <c r="I24">
        <f t="shared" si="2"/>
        <v>1</v>
      </c>
      <c r="J24">
        <f t="shared" si="3"/>
        <v>0</v>
      </c>
      <c r="K24">
        <f t="shared" si="4"/>
        <v>0</v>
      </c>
      <c r="M24">
        <f t="shared" si="5"/>
        <v>12055.774048174748</v>
      </c>
      <c r="N24">
        <f t="shared" si="6"/>
        <v>161139.70590960933</v>
      </c>
      <c r="O24">
        <f t="shared" si="7"/>
        <v>0</v>
      </c>
      <c r="P24">
        <f t="shared" si="8"/>
        <v>0</v>
      </c>
      <c r="Q24">
        <f t="shared" si="9"/>
        <v>0</v>
      </c>
    </row>
    <row r="25" spans="1:17" x14ac:dyDescent="0.35">
      <c r="A25" s="1" t="s">
        <v>24</v>
      </c>
      <c r="B25">
        <v>495092.43506590137</v>
      </c>
      <c r="C25">
        <v>264292.06470734131</v>
      </c>
      <c r="D25">
        <f t="shared" si="0"/>
        <v>0</v>
      </c>
      <c r="F25">
        <v>615418.46457075793</v>
      </c>
      <c r="G25">
        <v>350469.45817264699</v>
      </c>
      <c r="H25">
        <f t="shared" si="1"/>
        <v>1</v>
      </c>
      <c r="I25">
        <f t="shared" si="2"/>
        <v>0</v>
      </c>
      <c r="J25">
        <f t="shared" si="3"/>
        <v>0</v>
      </c>
      <c r="K25">
        <f t="shared" si="4"/>
        <v>1</v>
      </c>
      <c r="M25">
        <f t="shared" si="5"/>
        <v>230800.37035856006</v>
      </c>
      <c r="N25">
        <f t="shared" si="6"/>
        <v>264949.00639811094</v>
      </c>
      <c r="O25">
        <f t="shared" si="7"/>
        <v>0</v>
      </c>
      <c r="P25">
        <f t="shared" si="8"/>
        <v>0</v>
      </c>
      <c r="Q25">
        <f t="shared" si="9"/>
        <v>0</v>
      </c>
    </row>
    <row r="26" spans="1:17" x14ac:dyDescent="0.35">
      <c r="A26" s="1" t="s">
        <v>25</v>
      </c>
      <c r="B26">
        <v>595678.01644233277</v>
      </c>
      <c r="C26">
        <v>304773.52921821148</v>
      </c>
      <c r="D26">
        <f t="shared" si="0"/>
        <v>0</v>
      </c>
      <c r="F26">
        <v>656618.20503597741</v>
      </c>
      <c r="G26">
        <v>283355.66477939219</v>
      </c>
      <c r="H26">
        <f t="shared" si="1"/>
        <v>1</v>
      </c>
      <c r="I26">
        <f t="shared" si="2"/>
        <v>0</v>
      </c>
      <c r="J26">
        <f t="shared" si="3"/>
        <v>0</v>
      </c>
      <c r="K26">
        <f t="shared" si="4"/>
        <v>1</v>
      </c>
      <c r="M26">
        <f t="shared" si="5"/>
        <v>290904.48722412129</v>
      </c>
      <c r="N26">
        <f t="shared" si="6"/>
        <v>373262.54025658523</v>
      </c>
      <c r="O26">
        <f t="shared" si="7"/>
        <v>0</v>
      </c>
      <c r="P26">
        <f t="shared" si="8"/>
        <v>0</v>
      </c>
      <c r="Q26">
        <f t="shared" si="9"/>
        <v>0</v>
      </c>
    </row>
    <row r="27" spans="1:17" x14ac:dyDescent="0.35">
      <c r="A27" s="1" t="s">
        <v>26</v>
      </c>
      <c r="B27">
        <v>22753.54444444444</v>
      </c>
      <c r="C27">
        <v>100326.9430682954</v>
      </c>
      <c r="D27">
        <f t="shared" si="0"/>
        <v>1</v>
      </c>
      <c r="F27">
        <v>880146.99297487643</v>
      </c>
      <c r="G27">
        <v>39045.330118259233</v>
      </c>
      <c r="H27">
        <f t="shared" si="1"/>
        <v>1</v>
      </c>
      <c r="I27">
        <f t="shared" si="2"/>
        <v>1</v>
      </c>
      <c r="J27">
        <f t="shared" si="3"/>
        <v>0</v>
      </c>
      <c r="K27">
        <f t="shared" si="4"/>
        <v>0</v>
      </c>
      <c r="M27">
        <f t="shared" si="5"/>
        <v>77573.398623850953</v>
      </c>
      <c r="N27">
        <f t="shared" si="6"/>
        <v>841101.66285661724</v>
      </c>
      <c r="O27">
        <f t="shared" si="7"/>
        <v>0</v>
      </c>
      <c r="P27">
        <f t="shared" si="8"/>
        <v>0</v>
      </c>
      <c r="Q27">
        <f t="shared" si="9"/>
        <v>0</v>
      </c>
    </row>
    <row r="28" spans="1:17" x14ac:dyDescent="0.35">
      <c r="A28" s="1" t="s">
        <v>27</v>
      </c>
      <c r="B28">
        <v>153623.68896666891</v>
      </c>
      <c r="C28">
        <v>125235.47403562559</v>
      </c>
      <c r="D28">
        <f t="shared" si="0"/>
        <v>0</v>
      </c>
      <c r="F28">
        <v>581282.20650879922</v>
      </c>
      <c r="G28">
        <v>233840.24817977921</v>
      </c>
      <c r="H28">
        <f t="shared" si="1"/>
        <v>1</v>
      </c>
      <c r="I28">
        <f t="shared" si="2"/>
        <v>0</v>
      </c>
      <c r="J28">
        <f t="shared" si="3"/>
        <v>0</v>
      </c>
      <c r="K28">
        <f t="shared" si="4"/>
        <v>1</v>
      </c>
      <c r="M28">
        <f t="shared" si="5"/>
        <v>28388.214931043316</v>
      </c>
      <c r="N28">
        <f t="shared" si="6"/>
        <v>347441.95832902001</v>
      </c>
      <c r="O28">
        <f t="shared" si="7"/>
        <v>0</v>
      </c>
      <c r="P28">
        <f t="shared" si="8"/>
        <v>1</v>
      </c>
      <c r="Q28">
        <f t="shared" si="9"/>
        <v>0</v>
      </c>
    </row>
    <row r="29" spans="1:17" x14ac:dyDescent="0.35">
      <c r="A29" s="1" t="s">
        <v>28</v>
      </c>
      <c r="B29">
        <v>424579.7452472414</v>
      </c>
      <c r="C29">
        <v>187600.02207097039</v>
      </c>
      <c r="D29">
        <f t="shared" si="0"/>
        <v>0</v>
      </c>
      <c r="F29">
        <v>450309.46410108032</v>
      </c>
      <c r="G29">
        <v>322826.22058256168</v>
      </c>
      <c r="H29">
        <f t="shared" si="1"/>
        <v>1</v>
      </c>
      <c r="I29">
        <f t="shared" si="2"/>
        <v>0</v>
      </c>
      <c r="J29">
        <f t="shared" si="3"/>
        <v>0</v>
      </c>
      <c r="K29">
        <f t="shared" si="4"/>
        <v>1</v>
      </c>
      <c r="M29">
        <f t="shared" si="5"/>
        <v>236979.72317627101</v>
      </c>
      <c r="N29">
        <f t="shared" si="6"/>
        <v>127483.24351851863</v>
      </c>
      <c r="O29">
        <f t="shared" si="7"/>
        <v>1</v>
      </c>
      <c r="P29">
        <f t="shared" si="8"/>
        <v>0</v>
      </c>
      <c r="Q29">
        <f t="shared" si="9"/>
        <v>0</v>
      </c>
    </row>
    <row r="30" spans="1:17" x14ac:dyDescent="0.35">
      <c r="A30" s="1" t="s">
        <v>29</v>
      </c>
      <c r="B30">
        <v>956894.39750589337</v>
      </c>
      <c r="C30">
        <v>321509.17060545337</v>
      </c>
      <c r="D30">
        <f t="shared" si="0"/>
        <v>0</v>
      </c>
      <c r="F30">
        <v>956206.7930819029</v>
      </c>
      <c r="G30">
        <v>675214.64666139719</v>
      </c>
      <c r="H30">
        <f t="shared" si="1"/>
        <v>1</v>
      </c>
      <c r="I30">
        <f t="shared" si="2"/>
        <v>0</v>
      </c>
      <c r="J30">
        <f t="shared" si="3"/>
        <v>0</v>
      </c>
      <c r="K30">
        <f t="shared" si="4"/>
        <v>1</v>
      </c>
      <c r="M30">
        <f t="shared" si="5"/>
        <v>635385.22690043994</v>
      </c>
      <c r="N30">
        <f t="shared" si="6"/>
        <v>280992.14642050571</v>
      </c>
      <c r="O30">
        <f t="shared" si="7"/>
        <v>1</v>
      </c>
      <c r="P30">
        <f t="shared" si="8"/>
        <v>0</v>
      </c>
      <c r="Q30">
        <f t="shared" si="9"/>
        <v>0</v>
      </c>
    </row>
    <row r="31" spans="1:17" x14ac:dyDescent="0.35">
      <c r="A31" s="1" t="s">
        <v>30</v>
      </c>
      <c r="B31">
        <v>2026.1068702290081</v>
      </c>
      <c r="C31">
        <v>38330.170346680461</v>
      </c>
      <c r="D31">
        <f t="shared" si="0"/>
        <v>1</v>
      </c>
      <c r="F31">
        <v>305333.72306917788</v>
      </c>
      <c r="G31">
        <v>4208.173511411198</v>
      </c>
      <c r="H31">
        <f t="shared" si="1"/>
        <v>1</v>
      </c>
      <c r="I31">
        <f t="shared" si="2"/>
        <v>1</v>
      </c>
      <c r="J31">
        <f t="shared" si="3"/>
        <v>0</v>
      </c>
      <c r="K31">
        <f t="shared" si="4"/>
        <v>0</v>
      </c>
      <c r="M31">
        <f t="shared" si="5"/>
        <v>36304.063476451454</v>
      </c>
      <c r="N31">
        <f t="shared" si="6"/>
        <v>301125.5495577667</v>
      </c>
      <c r="O31">
        <f t="shared" si="7"/>
        <v>0</v>
      </c>
      <c r="P31">
        <f t="shared" si="8"/>
        <v>0</v>
      </c>
      <c r="Q31">
        <f t="shared" si="9"/>
        <v>0</v>
      </c>
    </row>
    <row r="32" spans="1:17" x14ac:dyDescent="0.35">
      <c r="A32" s="1" t="s">
        <v>31</v>
      </c>
      <c r="B32">
        <v>781571.48886993935</v>
      </c>
      <c r="C32">
        <v>375236.81855846109</v>
      </c>
      <c r="D32">
        <f t="shared" si="0"/>
        <v>0</v>
      </c>
      <c r="F32">
        <v>867235.48583397781</v>
      </c>
      <c r="G32">
        <v>399870.2911114794</v>
      </c>
      <c r="H32">
        <f t="shared" si="1"/>
        <v>1</v>
      </c>
      <c r="I32">
        <f t="shared" si="2"/>
        <v>0</v>
      </c>
      <c r="J32">
        <f t="shared" si="3"/>
        <v>0</v>
      </c>
      <c r="K32">
        <f t="shared" si="4"/>
        <v>1</v>
      </c>
      <c r="M32">
        <f t="shared" si="5"/>
        <v>406334.67031147826</v>
      </c>
      <c r="N32">
        <f t="shared" si="6"/>
        <v>467365.19472249842</v>
      </c>
      <c r="O32">
        <f t="shared" si="7"/>
        <v>0</v>
      </c>
      <c r="P32">
        <f t="shared" si="8"/>
        <v>0</v>
      </c>
      <c r="Q32">
        <f t="shared" si="9"/>
        <v>0</v>
      </c>
    </row>
    <row r="33" spans="1:17" x14ac:dyDescent="0.35">
      <c r="A33" s="1" t="s">
        <v>32</v>
      </c>
      <c r="B33">
        <v>9464.0028985507233</v>
      </c>
      <c r="C33">
        <v>95268.651507246366</v>
      </c>
      <c r="D33">
        <f t="shared" si="0"/>
        <v>1</v>
      </c>
      <c r="F33">
        <v>598548.46194275585</v>
      </c>
      <c r="G33">
        <v>26860.44210412445</v>
      </c>
      <c r="H33">
        <f t="shared" si="1"/>
        <v>1</v>
      </c>
      <c r="I33">
        <f t="shared" si="2"/>
        <v>1</v>
      </c>
      <c r="J33">
        <f t="shared" si="3"/>
        <v>0</v>
      </c>
      <c r="K33">
        <f t="shared" si="4"/>
        <v>0</v>
      </c>
      <c r="M33">
        <f t="shared" si="5"/>
        <v>85804.648608695643</v>
      </c>
      <c r="N33">
        <f t="shared" si="6"/>
        <v>571688.01983863139</v>
      </c>
      <c r="O33">
        <f t="shared" si="7"/>
        <v>0</v>
      </c>
      <c r="P33">
        <f t="shared" si="8"/>
        <v>0</v>
      </c>
      <c r="Q33">
        <f t="shared" si="9"/>
        <v>0</v>
      </c>
    </row>
    <row r="34" spans="1:17" x14ac:dyDescent="0.35">
      <c r="A34" s="1" t="s">
        <v>33</v>
      </c>
      <c r="B34">
        <v>53500.150236765759</v>
      </c>
      <c r="C34">
        <v>40423.081830056668</v>
      </c>
      <c r="D34">
        <f t="shared" si="0"/>
        <v>0</v>
      </c>
      <c r="F34">
        <v>178808.09418730589</v>
      </c>
      <c r="G34">
        <v>94220.35254419157</v>
      </c>
      <c r="H34">
        <f t="shared" si="1"/>
        <v>1</v>
      </c>
      <c r="I34">
        <f t="shared" si="2"/>
        <v>0</v>
      </c>
      <c r="J34">
        <f t="shared" si="3"/>
        <v>0</v>
      </c>
      <c r="K34">
        <f t="shared" si="4"/>
        <v>1</v>
      </c>
      <c r="M34">
        <f t="shared" si="5"/>
        <v>13077.068406709092</v>
      </c>
      <c r="N34">
        <f t="shared" si="6"/>
        <v>84587.741643114321</v>
      </c>
      <c r="O34">
        <f t="shared" si="7"/>
        <v>0</v>
      </c>
      <c r="P34">
        <f t="shared" si="8"/>
        <v>1</v>
      </c>
      <c r="Q34">
        <f t="shared" si="9"/>
        <v>0</v>
      </c>
    </row>
    <row r="35" spans="1:17" x14ac:dyDescent="0.35">
      <c r="A35" s="1" t="s">
        <v>34</v>
      </c>
      <c r="B35">
        <v>8817.1397058823532</v>
      </c>
      <c r="C35">
        <v>20912.837977948791</v>
      </c>
      <c r="D35">
        <f t="shared" si="0"/>
        <v>1</v>
      </c>
      <c r="F35">
        <v>95886.386519607855</v>
      </c>
      <c r="G35">
        <v>9965.0422268907569</v>
      </c>
      <c r="H35">
        <f t="shared" si="1"/>
        <v>1</v>
      </c>
      <c r="I35">
        <f t="shared" si="2"/>
        <v>1</v>
      </c>
      <c r="J35">
        <f t="shared" si="3"/>
        <v>0</v>
      </c>
      <c r="K35">
        <f t="shared" si="4"/>
        <v>0</v>
      </c>
      <c r="M35">
        <f t="shared" si="5"/>
        <v>12095.698272066438</v>
      </c>
      <c r="N35">
        <f t="shared" si="6"/>
        <v>85921.344292717098</v>
      </c>
      <c r="O35">
        <f t="shared" si="7"/>
        <v>0</v>
      </c>
      <c r="P35">
        <f t="shared" si="8"/>
        <v>0</v>
      </c>
      <c r="Q35">
        <f t="shared" si="9"/>
        <v>0</v>
      </c>
    </row>
    <row r="36" spans="1:17" x14ac:dyDescent="0.35">
      <c r="A36" s="1" t="s">
        <v>35</v>
      </c>
      <c r="B36">
        <v>4736.8138888888889</v>
      </c>
      <c r="C36">
        <v>173368.07574569981</v>
      </c>
      <c r="D36">
        <f t="shared" si="0"/>
        <v>1</v>
      </c>
      <c r="F36">
        <v>613473.12567081465</v>
      </c>
      <c r="G36">
        <v>11259.56656064581</v>
      </c>
      <c r="H36">
        <f t="shared" si="1"/>
        <v>1</v>
      </c>
      <c r="I36">
        <f t="shared" si="2"/>
        <v>1</v>
      </c>
      <c r="J36">
        <f t="shared" si="3"/>
        <v>0</v>
      </c>
      <c r="K36">
        <f t="shared" si="4"/>
        <v>0</v>
      </c>
      <c r="M36">
        <f t="shared" si="5"/>
        <v>168631.26185681092</v>
      </c>
      <c r="N36">
        <f t="shared" si="6"/>
        <v>602213.55911016883</v>
      </c>
      <c r="O36">
        <f t="shared" si="7"/>
        <v>0</v>
      </c>
      <c r="P36">
        <f t="shared" si="8"/>
        <v>0</v>
      </c>
      <c r="Q36">
        <f t="shared" si="9"/>
        <v>0</v>
      </c>
    </row>
    <row r="37" spans="1:17" x14ac:dyDescent="0.35">
      <c r="A37" s="1" t="s">
        <v>36</v>
      </c>
      <c r="B37">
        <v>9847.2773722627735</v>
      </c>
      <c r="C37">
        <v>105607.6564313323</v>
      </c>
      <c r="D37">
        <f t="shared" si="0"/>
        <v>1</v>
      </c>
      <c r="F37">
        <v>699493.37102793041</v>
      </c>
      <c r="G37">
        <v>14017.201488095239</v>
      </c>
      <c r="H37">
        <f t="shared" si="1"/>
        <v>1</v>
      </c>
      <c r="I37">
        <f t="shared" si="2"/>
        <v>1</v>
      </c>
      <c r="J37">
        <f t="shared" si="3"/>
        <v>0</v>
      </c>
      <c r="K37">
        <f t="shared" si="4"/>
        <v>0</v>
      </c>
      <c r="M37">
        <f t="shared" si="5"/>
        <v>95760.379059069528</v>
      </c>
      <c r="N37">
        <f t="shared" si="6"/>
        <v>685476.16953983519</v>
      </c>
      <c r="O37">
        <f t="shared" si="7"/>
        <v>0</v>
      </c>
      <c r="P37">
        <f t="shared" si="8"/>
        <v>0</v>
      </c>
      <c r="Q37">
        <f t="shared" si="9"/>
        <v>0</v>
      </c>
    </row>
    <row r="38" spans="1:17" x14ac:dyDescent="0.35">
      <c r="A38" s="1" t="s">
        <v>37</v>
      </c>
      <c r="B38">
        <v>498565.35528296418</v>
      </c>
      <c r="C38">
        <v>280936.77136886673</v>
      </c>
      <c r="D38">
        <f t="shared" si="0"/>
        <v>0</v>
      </c>
      <c r="F38">
        <v>712895.33724244498</v>
      </c>
      <c r="G38">
        <v>354188.16058550822</v>
      </c>
      <c r="H38">
        <f t="shared" si="1"/>
        <v>1</v>
      </c>
      <c r="I38">
        <f t="shared" si="2"/>
        <v>0</v>
      </c>
      <c r="J38">
        <f t="shared" si="3"/>
        <v>0</v>
      </c>
      <c r="K38">
        <f t="shared" si="4"/>
        <v>1</v>
      </c>
      <c r="M38">
        <f t="shared" si="5"/>
        <v>217628.58391409746</v>
      </c>
      <c r="N38">
        <f t="shared" si="6"/>
        <v>358707.17665693676</v>
      </c>
      <c r="O38">
        <f t="shared" si="7"/>
        <v>0</v>
      </c>
      <c r="P38">
        <f t="shared" si="8"/>
        <v>1</v>
      </c>
      <c r="Q38">
        <f t="shared" si="9"/>
        <v>0</v>
      </c>
    </row>
    <row r="39" spans="1:17" x14ac:dyDescent="0.35">
      <c r="A39" s="1" t="s">
        <v>38</v>
      </c>
      <c r="B39">
        <v>835861.02819280652</v>
      </c>
      <c r="C39">
        <v>291220.67510650039</v>
      </c>
      <c r="D39">
        <f t="shared" si="0"/>
        <v>0</v>
      </c>
      <c r="F39">
        <v>945823.61987585551</v>
      </c>
      <c r="G39">
        <v>441323.31184954609</v>
      </c>
      <c r="H39">
        <f t="shared" si="1"/>
        <v>1</v>
      </c>
      <c r="I39">
        <f t="shared" si="2"/>
        <v>0</v>
      </c>
      <c r="J39">
        <f t="shared" si="3"/>
        <v>0</v>
      </c>
      <c r="K39">
        <f t="shared" si="4"/>
        <v>1</v>
      </c>
      <c r="M39">
        <f t="shared" si="5"/>
        <v>544640.35308630613</v>
      </c>
      <c r="N39">
        <f t="shared" si="6"/>
        <v>504500.30802630942</v>
      </c>
      <c r="O39">
        <f t="shared" si="7"/>
        <v>0</v>
      </c>
      <c r="P39">
        <f t="shared" si="8"/>
        <v>0</v>
      </c>
      <c r="Q39">
        <f t="shared" si="9"/>
        <v>0</v>
      </c>
    </row>
    <row r="40" spans="1:17" x14ac:dyDescent="0.35">
      <c r="A40" s="1" t="s">
        <v>39</v>
      </c>
      <c r="B40">
        <v>8706.2053571428569</v>
      </c>
      <c r="C40">
        <v>98539.683532066483</v>
      </c>
      <c r="D40">
        <f t="shared" si="0"/>
        <v>1</v>
      </c>
      <c r="F40">
        <v>570266.55178146996</v>
      </c>
      <c r="G40">
        <v>13316.9589262136</v>
      </c>
      <c r="H40">
        <f t="shared" si="1"/>
        <v>1</v>
      </c>
      <c r="I40">
        <f t="shared" si="2"/>
        <v>1</v>
      </c>
      <c r="J40">
        <f t="shared" si="3"/>
        <v>0</v>
      </c>
      <c r="K40">
        <f t="shared" si="4"/>
        <v>0</v>
      </c>
      <c r="M40">
        <f t="shared" si="5"/>
        <v>89833.478174923628</v>
      </c>
      <c r="N40">
        <f t="shared" si="6"/>
        <v>556949.5928552564</v>
      </c>
      <c r="O40">
        <f t="shared" si="7"/>
        <v>0</v>
      </c>
      <c r="P40">
        <f t="shared" si="8"/>
        <v>0</v>
      </c>
      <c r="Q40">
        <f t="shared" si="9"/>
        <v>0</v>
      </c>
    </row>
    <row r="41" spans="1:17" x14ac:dyDescent="0.35">
      <c r="A41" s="1" t="s">
        <v>40</v>
      </c>
      <c r="B41">
        <v>144978.52486818741</v>
      </c>
      <c r="C41">
        <v>74426.481009844036</v>
      </c>
      <c r="D41">
        <f t="shared" si="0"/>
        <v>0</v>
      </c>
      <c r="F41">
        <v>310553.56243571761</v>
      </c>
      <c r="G41">
        <v>229986.96419471709</v>
      </c>
      <c r="H41">
        <f t="shared" si="1"/>
        <v>1</v>
      </c>
      <c r="I41">
        <f t="shared" si="2"/>
        <v>0</v>
      </c>
      <c r="J41">
        <f t="shared" si="3"/>
        <v>0</v>
      </c>
      <c r="K41">
        <f t="shared" si="4"/>
        <v>1</v>
      </c>
      <c r="M41">
        <f t="shared" si="5"/>
        <v>70552.043858343372</v>
      </c>
      <c r="N41">
        <f t="shared" si="6"/>
        <v>80566.598241000524</v>
      </c>
      <c r="O41">
        <f t="shared" si="7"/>
        <v>0</v>
      </c>
      <c r="P41">
        <f t="shared" si="8"/>
        <v>0</v>
      </c>
      <c r="Q41">
        <f t="shared" si="9"/>
        <v>0</v>
      </c>
    </row>
    <row r="42" spans="1:17" x14ac:dyDescent="0.35">
      <c r="A42" s="1" t="s">
        <v>41</v>
      </c>
      <c r="B42">
        <v>28965.85010328154</v>
      </c>
      <c r="C42">
        <v>15704.502506287719</v>
      </c>
      <c r="D42">
        <f t="shared" si="0"/>
        <v>0</v>
      </c>
      <c r="F42">
        <v>859654.12923861854</v>
      </c>
      <c r="G42">
        <v>79939.775706436427</v>
      </c>
      <c r="H42">
        <f t="shared" si="1"/>
        <v>1</v>
      </c>
      <c r="I42">
        <f t="shared" si="2"/>
        <v>0</v>
      </c>
      <c r="J42">
        <f t="shared" si="3"/>
        <v>0</v>
      </c>
      <c r="K42">
        <f t="shared" si="4"/>
        <v>1</v>
      </c>
      <c r="M42">
        <f t="shared" si="5"/>
        <v>13261.347596993821</v>
      </c>
      <c r="N42">
        <f t="shared" si="6"/>
        <v>779714.35353218205</v>
      </c>
      <c r="O42">
        <f t="shared" si="7"/>
        <v>0</v>
      </c>
      <c r="P42">
        <f t="shared" si="8"/>
        <v>1</v>
      </c>
      <c r="Q42">
        <f t="shared" si="9"/>
        <v>0</v>
      </c>
    </row>
    <row r="43" spans="1:17" x14ac:dyDescent="0.35">
      <c r="A43" s="1" t="s">
        <v>42</v>
      </c>
      <c r="B43">
        <v>789722.2949157164</v>
      </c>
      <c r="C43">
        <v>343631.58108845179</v>
      </c>
      <c r="D43">
        <f t="shared" si="0"/>
        <v>0</v>
      </c>
      <c r="F43">
        <v>734071.09904801985</v>
      </c>
      <c r="G43">
        <v>479417.86267486372</v>
      </c>
      <c r="H43">
        <f t="shared" si="1"/>
        <v>1</v>
      </c>
      <c r="I43">
        <f t="shared" si="2"/>
        <v>0</v>
      </c>
      <c r="J43">
        <f t="shared" si="3"/>
        <v>0</v>
      </c>
      <c r="K43">
        <f t="shared" si="4"/>
        <v>1</v>
      </c>
      <c r="M43">
        <f t="shared" si="5"/>
        <v>446090.71382726461</v>
      </c>
      <c r="N43">
        <f t="shared" si="6"/>
        <v>254653.23637315613</v>
      </c>
      <c r="O43">
        <f t="shared" si="7"/>
        <v>1</v>
      </c>
      <c r="P43">
        <f t="shared" si="8"/>
        <v>0</v>
      </c>
      <c r="Q43">
        <f t="shared" si="9"/>
        <v>0</v>
      </c>
    </row>
    <row r="44" spans="1:17" x14ac:dyDescent="0.35">
      <c r="A44" s="1" t="s">
        <v>43</v>
      </c>
      <c r="B44">
        <v>173.35185185185179</v>
      </c>
      <c r="C44">
        <v>9943.24782674776</v>
      </c>
      <c r="D44">
        <f t="shared" si="0"/>
        <v>1</v>
      </c>
      <c r="F44">
        <v>560936.96545584046</v>
      </c>
      <c r="G44">
        <v>2810.2960648148151</v>
      </c>
      <c r="H44">
        <f t="shared" si="1"/>
        <v>1</v>
      </c>
      <c r="I44">
        <f t="shared" si="2"/>
        <v>1</v>
      </c>
      <c r="J44">
        <f t="shared" si="3"/>
        <v>0</v>
      </c>
      <c r="K44">
        <f t="shared" si="4"/>
        <v>0</v>
      </c>
      <c r="M44">
        <f t="shared" si="5"/>
        <v>9769.8959748959078</v>
      </c>
      <c r="N44">
        <f t="shared" si="6"/>
        <v>558126.66939102567</v>
      </c>
      <c r="O44">
        <f t="shared" si="7"/>
        <v>0</v>
      </c>
      <c r="P44">
        <f t="shared" si="8"/>
        <v>0</v>
      </c>
      <c r="Q44">
        <f t="shared" si="9"/>
        <v>0</v>
      </c>
    </row>
    <row r="45" spans="1:17" x14ac:dyDescent="0.35">
      <c r="A45" s="1" t="s">
        <v>44</v>
      </c>
      <c r="B45">
        <v>388139.02621620888</v>
      </c>
      <c r="C45">
        <v>183111.98437212201</v>
      </c>
      <c r="D45">
        <f t="shared" si="0"/>
        <v>0</v>
      </c>
      <c r="F45">
        <v>592648.53501913766</v>
      </c>
      <c r="G45">
        <v>280181.69825650117</v>
      </c>
      <c r="H45">
        <f t="shared" si="1"/>
        <v>1</v>
      </c>
      <c r="I45">
        <f t="shared" si="2"/>
        <v>0</v>
      </c>
      <c r="J45">
        <f t="shared" si="3"/>
        <v>0</v>
      </c>
      <c r="K45">
        <f t="shared" si="4"/>
        <v>1</v>
      </c>
      <c r="M45">
        <f t="shared" si="5"/>
        <v>205027.04184408687</v>
      </c>
      <c r="N45">
        <f t="shared" si="6"/>
        <v>312466.83676263649</v>
      </c>
      <c r="O45">
        <f t="shared" si="7"/>
        <v>0</v>
      </c>
      <c r="P45">
        <f t="shared" si="8"/>
        <v>1</v>
      </c>
      <c r="Q45">
        <f t="shared" si="9"/>
        <v>0</v>
      </c>
    </row>
    <row r="46" spans="1:17" x14ac:dyDescent="0.35">
      <c r="A46" s="1" t="s">
        <v>45</v>
      </c>
      <c r="B46">
        <v>182.80769230769229</v>
      </c>
      <c r="C46">
        <v>6939.6686956669118</v>
      </c>
      <c r="D46">
        <f t="shared" si="0"/>
        <v>1</v>
      </c>
      <c r="F46">
        <v>596602.58742508444</v>
      </c>
      <c r="G46">
        <v>1234.1562820093709</v>
      </c>
      <c r="H46">
        <f t="shared" si="1"/>
        <v>1</v>
      </c>
      <c r="I46">
        <f t="shared" si="2"/>
        <v>1</v>
      </c>
      <c r="J46">
        <f t="shared" si="3"/>
        <v>0</v>
      </c>
      <c r="K46">
        <f t="shared" si="4"/>
        <v>0</v>
      </c>
      <c r="M46">
        <f t="shared" si="5"/>
        <v>6756.8610033592195</v>
      </c>
      <c r="N46">
        <f t="shared" si="6"/>
        <v>595368.43114307511</v>
      </c>
      <c r="O46">
        <f t="shared" si="7"/>
        <v>0</v>
      </c>
      <c r="P46">
        <f t="shared" si="8"/>
        <v>0</v>
      </c>
      <c r="Q46">
        <f t="shared" si="9"/>
        <v>0</v>
      </c>
    </row>
    <row r="47" spans="1:17" x14ac:dyDescent="0.35">
      <c r="A47" s="1" t="s">
        <v>46</v>
      </c>
      <c r="B47">
        <v>542367.83353008237</v>
      </c>
      <c r="C47">
        <v>305196.55414816219</v>
      </c>
      <c r="D47">
        <f t="shared" si="0"/>
        <v>0</v>
      </c>
      <c r="F47">
        <v>876677.69664312294</v>
      </c>
      <c r="G47">
        <v>438037.29589504062</v>
      </c>
      <c r="H47">
        <f t="shared" si="1"/>
        <v>1</v>
      </c>
      <c r="I47">
        <f t="shared" si="2"/>
        <v>0</v>
      </c>
      <c r="J47">
        <f t="shared" si="3"/>
        <v>0</v>
      </c>
      <c r="K47">
        <f t="shared" si="4"/>
        <v>1</v>
      </c>
      <c r="M47">
        <f t="shared" si="5"/>
        <v>237171.27938192018</v>
      </c>
      <c r="N47">
        <f t="shared" si="6"/>
        <v>438640.40074808232</v>
      </c>
      <c r="O47">
        <f t="shared" si="7"/>
        <v>0</v>
      </c>
      <c r="P47">
        <f t="shared" si="8"/>
        <v>1</v>
      </c>
      <c r="Q47">
        <f t="shared" si="9"/>
        <v>0</v>
      </c>
    </row>
    <row r="48" spans="1:17" x14ac:dyDescent="0.35">
      <c r="A48" s="1" t="s">
        <v>47</v>
      </c>
      <c r="B48">
        <v>187081.05716336871</v>
      </c>
      <c r="C48">
        <v>132626.15764161569</v>
      </c>
      <c r="D48">
        <f t="shared" si="0"/>
        <v>0</v>
      </c>
      <c r="F48">
        <v>468175.46672829898</v>
      </c>
      <c r="G48">
        <v>191382.4256260542</v>
      </c>
      <c r="H48">
        <f t="shared" si="1"/>
        <v>1</v>
      </c>
      <c r="I48">
        <f t="shared" si="2"/>
        <v>0</v>
      </c>
      <c r="J48">
        <f t="shared" si="3"/>
        <v>0</v>
      </c>
      <c r="K48">
        <f t="shared" si="4"/>
        <v>1</v>
      </c>
      <c r="M48">
        <f t="shared" si="5"/>
        <v>54454.899521753017</v>
      </c>
      <c r="N48">
        <f t="shared" si="6"/>
        <v>276793.04110224475</v>
      </c>
      <c r="O48">
        <f t="shared" si="7"/>
        <v>0</v>
      </c>
      <c r="P48">
        <f t="shared" si="8"/>
        <v>1</v>
      </c>
      <c r="Q48">
        <f t="shared" si="9"/>
        <v>0</v>
      </c>
    </row>
    <row r="49" spans="1:17" x14ac:dyDescent="0.35">
      <c r="A49" s="1" t="s">
        <v>48</v>
      </c>
      <c r="B49">
        <v>851.92105263157896</v>
      </c>
      <c r="C49">
        <v>17733.06805801034</v>
      </c>
      <c r="D49">
        <f t="shared" si="0"/>
        <v>1</v>
      </c>
      <c r="F49">
        <v>856886.89223289315</v>
      </c>
      <c r="G49">
        <v>4094.8644397759099</v>
      </c>
      <c r="H49">
        <f t="shared" si="1"/>
        <v>1</v>
      </c>
      <c r="I49">
        <f t="shared" si="2"/>
        <v>1</v>
      </c>
      <c r="J49">
        <f t="shared" si="3"/>
        <v>0</v>
      </c>
      <c r="K49">
        <f t="shared" si="4"/>
        <v>0</v>
      </c>
      <c r="M49">
        <f t="shared" si="5"/>
        <v>16881.14700537876</v>
      </c>
      <c r="N49">
        <f t="shared" si="6"/>
        <v>852792.02779311722</v>
      </c>
      <c r="O49">
        <f t="shared" si="7"/>
        <v>0</v>
      </c>
      <c r="P49">
        <f t="shared" si="8"/>
        <v>0</v>
      </c>
      <c r="Q49">
        <f t="shared" si="9"/>
        <v>0</v>
      </c>
    </row>
    <row r="50" spans="1:17" x14ac:dyDescent="0.35">
      <c r="A50" s="1" t="s">
        <v>49</v>
      </c>
      <c r="B50">
        <v>221985.87255178471</v>
      </c>
      <c r="C50">
        <v>39291.785075557498</v>
      </c>
      <c r="D50">
        <f t="shared" si="0"/>
        <v>0</v>
      </c>
      <c r="F50">
        <v>207103.08331549511</v>
      </c>
      <c r="G50">
        <v>136269.73766196889</v>
      </c>
      <c r="H50">
        <f t="shared" si="1"/>
        <v>1</v>
      </c>
      <c r="I50">
        <f t="shared" si="2"/>
        <v>0</v>
      </c>
      <c r="J50">
        <f t="shared" si="3"/>
        <v>0</v>
      </c>
      <c r="K50">
        <f t="shared" si="4"/>
        <v>1</v>
      </c>
      <c r="M50">
        <f t="shared" si="5"/>
        <v>182694.0874762272</v>
      </c>
      <c r="N50">
        <f t="shared" si="6"/>
        <v>70833.345653526223</v>
      </c>
      <c r="O50">
        <f t="shared" si="7"/>
        <v>1</v>
      </c>
      <c r="P50">
        <f t="shared" si="8"/>
        <v>0</v>
      </c>
      <c r="Q50">
        <f t="shared" si="9"/>
        <v>0</v>
      </c>
    </row>
    <row r="51" spans="1:17" x14ac:dyDescent="0.35">
      <c r="A51" s="1" t="s">
        <v>50</v>
      </c>
      <c r="B51">
        <v>20702.603815577932</v>
      </c>
      <c r="C51">
        <v>17790.373920742171</v>
      </c>
      <c r="D51">
        <f t="shared" si="0"/>
        <v>0</v>
      </c>
      <c r="F51">
        <v>630608.24856394739</v>
      </c>
      <c r="G51">
        <v>83338.673195853931</v>
      </c>
      <c r="H51">
        <f t="shared" si="1"/>
        <v>1</v>
      </c>
      <c r="I51">
        <f t="shared" si="2"/>
        <v>0</v>
      </c>
      <c r="J51">
        <f t="shared" si="3"/>
        <v>0</v>
      </c>
      <c r="K51">
        <f t="shared" si="4"/>
        <v>1</v>
      </c>
      <c r="M51">
        <f t="shared" si="5"/>
        <v>2912.2298948357602</v>
      </c>
      <c r="N51">
        <f t="shared" si="6"/>
        <v>547269.57536809344</v>
      </c>
      <c r="O51">
        <f t="shared" si="7"/>
        <v>0</v>
      </c>
      <c r="P51">
        <f t="shared" si="8"/>
        <v>1</v>
      </c>
      <c r="Q51">
        <f t="shared" si="9"/>
        <v>0</v>
      </c>
    </row>
    <row r="52" spans="1:17" x14ac:dyDescent="0.35">
      <c r="A52" s="1" t="s">
        <v>51</v>
      </c>
      <c r="B52">
        <v>124415.1397850826</v>
      </c>
      <c r="C52">
        <v>100991.2078034399</v>
      </c>
      <c r="D52">
        <f t="shared" si="0"/>
        <v>0</v>
      </c>
      <c r="F52">
        <v>248676.74547892719</v>
      </c>
      <c r="G52">
        <v>152939.2855236271</v>
      </c>
      <c r="H52">
        <f t="shared" si="1"/>
        <v>1</v>
      </c>
      <c r="I52">
        <f t="shared" si="2"/>
        <v>0</v>
      </c>
      <c r="J52">
        <f t="shared" si="3"/>
        <v>0</v>
      </c>
      <c r="K52">
        <f t="shared" si="4"/>
        <v>1</v>
      </c>
      <c r="M52">
        <f t="shared" si="5"/>
        <v>23423.931981642701</v>
      </c>
      <c r="N52">
        <f t="shared" si="6"/>
        <v>95737.459955300088</v>
      </c>
      <c r="O52">
        <f t="shared" si="7"/>
        <v>0</v>
      </c>
      <c r="P52">
        <f t="shared" si="8"/>
        <v>1</v>
      </c>
      <c r="Q52">
        <f t="shared" si="9"/>
        <v>0</v>
      </c>
    </row>
    <row r="53" spans="1:17" x14ac:dyDescent="0.35">
      <c r="A53" s="1" t="s">
        <v>52</v>
      </c>
      <c r="B53">
        <v>294343.92726364458</v>
      </c>
      <c r="C53">
        <v>252060.76211739529</v>
      </c>
      <c r="D53">
        <f t="shared" si="0"/>
        <v>0</v>
      </c>
      <c r="F53">
        <v>612533.10237283446</v>
      </c>
      <c r="G53">
        <v>220941.973958694</v>
      </c>
      <c r="H53">
        <f t="shared" si="1"/>
        <v>1</v>
      </c>
      <c r="I53">
        <f t="shared" si="2"/>
        <v>0</v>
      </c>
      <c r="J53">
        <f t="shared" si="3"/>
        <v>0</v>
      </c>
      <c r="K53">
        <f t="shared" si="4"/>
        <v>1</v>
      </c>
      <c r="M53">
        <f t="shared" si="5"/>
        <v>42283.165146249288</v>
      </c>
      <c r="N53">
        <f t="shared" si="6"/>
        <v>391591.12841414043</v>
      </c>
      <c r="O53">
        <f t="shared" si="7"/>
        <v>0</v>
      </c>
      <c r="P53">
        <f t="shared" si="8"/>
        <v>1</v>
      </c>
      <c r="Q53">
        <f t="shared" si="9"/>
        <v>0</v>
      </c>
    </row>
    <row r="54" spans="1:17" x14ac:dyDescent="0.35">
      <c r="A54" s="1" t="s">
        <v>53</v>
      </c>
      <c r="B54">
        <v>48068.029195011339</v>
      </c>
      <c r="C54">
        <v>28744.461482504881</v>
      </c>
      <c r="D54">
        <f t="shared" si="0"/>
        <v>0</v>
      </c>
      <c r="F54">
        <v>603143.83088235301</v>
      </c>
      <c r="G54">
        <v>168832.05575053551</v>
      </c>
      <c r="H54">
        <f t="shared" si="1"/>
        <v>1</v>
      </c>
      <c r="I54">
        <f t="shared" si="2"/>
        <v>0</v>
      </c>
      <c r="J54">
        <f t="shared" si="3"/>
        <v>0</v>
      </c>
      <c r="K54">
        <f t="shared" si="4"/>
        <v>1</v>
      </c>
      <c r="M54">
        <f t="shared" si="5"/>
        <v>19323.567712506458</v>
      </c>
      <c r="N54">
        <f t="shared" si="6"/>
        <v>434311.7751318175</v>
      </c>
      <c r="O54">
        <f t="shared" si="7"/>
        <v>0</v>
      </c>
      <c r="P54">
        <f t="shared" si="8"/>
        <v>1</v>
      </c>
      <c r="Q54">
        <f t="shared" si="9"/>
        <v>0</v>
      </c>
    </row>
    <row r="55" spans="1:17" x14ac:dyDescent="0.35">
      <c r="A55" s="1" t="s">
        <v>54</v>
      </c>
      <c r="B55">
        <v>547967.61528836866</v>
      </c>
      <c r="C55">
        <v>236080.9491363719</v>
      </c>
      <c r="D55">
        <f t="shared" si="0"/>
        <v>0</v>
      </c>
      <c r="F55">
        <v>688560.79491277959</v>
      </c>
      <c r="G55">
        <v>381782.17231486458</v>
      </c>
      <c r="H55">
        <f t="shared" si="1"/>
        <v>1</v>
      </c>
      <c r="I55">
        <f t="shared" si="2"/>
        <v>0</v>
      </c>
      <c r="J55">
        <f t="shared" si="3"/>
        <v>0</v>
      </c>
      <c r="K55">
        <f t="shared" si="4"/>
        <v>1</v>
      </c>
      <c r="M55">
        <f t="shared" si="5"/>
        <v>311886.66615199676</v>
      </c>
      <c r="N55">
        <f t="shared" si="6"/>
        <v>306778.622597915</v>
      </c>
      <c r="O55">
        <f t="shared" si="7"/>
        <v>0</v>
      </c>
      <c r="P55">
        <f t="shared" si="8"/>
        <v>0</v>
      </c>
      <c r="Q55">
        <f t="shared" si="9"/>
        <v>0</v>
      </c>
    </row>
    <row r="56" spans="1:17" x14ac:dyDescent="0.35">
      <c r="A56" s="1" t="s">
        <v>55</v>
      </c>
      <c r="B56">
        <v>623643.98882608197</v>
      </c>
      <c r="C56">
        <v>315071.02740343439</v>
      </c>
      <c r="D56">
        <f t="shared" si="0"/>
        <v>0</v>
      </c>
      <c r="F56">
        <v>643401.23820950394</v>
      </c>
      <c r="G56">
        <v>413607.23855199089</v>
      </c>
      <c r="H56">
        <f t="shared" si="1"/>
        <v>1</v>
      </c>
      <c r="I56">
        <f t="shared" si="2"/>
        <v>0</v>
      </c>
      <c r="J56">
        <f t="shared" si="3"/>
        <v>0</v>
      </c>
      <c r="K56">
        <f t="shared" si="4"/>
        <v>1</v>
      </c>
      <c r="M56">
        <f t="shared" si="5"/>
        <v>308572.96142264758</v>
      </c>
      <c r="N56">
        <f t="shared" si="6"/>
        <v>229793.99965751305</v>
      </c>
      <c r="O56">
        <f t="shared" si="7"/>
        <v>0</v>
      </c>
      <c r="P56">
        <f t="shared" si="8"/>
        <v>0</v>
      </c>
      <c r="Q56">
        <f t="shared" si="9"/>
        <v>0</v>
      </c>
    </row>
    <row r="57" spans="1:17" x14ac:dyDescent="0.35">
      <c r="A57" s="1" t="s">
        <v>56</v>
      </c>
      <c r="B57">
        <v>1847.423529411765</v>
      </c>
      <c r="C57">
        <v>14808.23021922209</v>
      </c>
      <c r="D57">
        <f t="shared" si="0"/>
        <v>1</v>
      </c>
      <c r="F57">
        <v>46463.989185645267</v>
      </c>
      <c r="G57">
        <v>2687.3449417701859</v>
      </c>
      <c r="H57">
        <f t="shared" si="1"/>
        <v>1</v>
      </c>
      <c r="I57">
        <f t="shared" si="2"/>
        <v>1</v>
      </c>
      <c r="J57">
        <f t="shared" si="3"/>
        <v>0</v>
      </c>
      <c r="K57">
        <f t="shared" si="4"/>
        <v>0</v>
      </c>
      <c r="M57">
        <f t="shared" si="5"/>
        <v>12960.806689810326</v>
      </c>
      <c r="N57">
        <f t="shared" si="6"/>
        <v>43776.644243875082</v>
      </c>
      <c r="O57">
        <f t="shared" si="7"/>
        <v>0</v>
      </c>
      <c r="P57">
        <f t="shared" si="8"/>
        <v>0</v>
      </c>
      <c r="Q57">
        <f t="shared" si="9"/>
        <v>0</v>
      </c>
    </row>
    <row r="58" spans="1:17" x14ac:dyDescent="0.35">
      <c r="A58" s="1" t="s">
        <v>57</v>
      </c>
      <c r="B58">
        <v>796305.03491363802</v>
      </c>
      <c r="C58">
        <v>172241.43859151969</v>
      </c>
      <c r="D58">
        <f t="shared" si="0"/>
        <v>0</v>
      </c>
      <c r="F58">
        <v>366588.06323006318</v>
      </c>
      <c r="G58">
        <v>477180.87987760571</v>
      </c>
      <c r="H58">
        <f t="shared" si="1"/>
        <v>0</v>
      </c>
      <c r="I58">
        <f t="shared" si="2"/>
        <v>0</v>
      </c>
      <c r="J58">
        <f t="shared" si="3"/>
        <v>1</v>
      </c>
      <c r="K58">
        <f t="shared" si="4"/>
        <v>0</v>
      </c>
      <c r="M58">
        <f t="shared" si="5"/>
        <v>624063.5963221183</v>
      </c>
      <c r="N58">
        <f t="shared" si="6"/>
        <v>110592.81664754252</v>
      </c>
      <c r="O58">
        <f t="shared" si="7"/>
        <v>0</v>
      </c>
      <c r="P58">
        <f t="shared" si="8"/>
        <v>0</v>
      </c>
      <c r="Q58">
        <f t="shared" si="9"/>
        <v>0</v>
      </c>
    </row>
    <row r="59" spans="1:17" x14ac:dyDescent="0.35">
      <c r="A59" s="1" t="s">
        <v>58</v>
      </c>
      <c r="B59">
        <v>524853.06051110022</v>
      </c>
      <c r="C59">
        <v>178855.99141166199</v>
      </c>
      <c r="D59">
        <f t="shared" si="0"/>
        <v>0</v>
      </c>
      <c r="F59">
        <v>472141.38501959387</v>
      </c>
      <c r="G59">
        <v>290250.62493666628</v>
      </c>
      <c r="H59">
        <f t="shared" si="1"/>
        <v>1</v>
      </c>
      <c r="I59">
        <f t="shared" si="2"/>
        <v>0</v>
      </c>
      <c r="J59">
        <f t="shared" si="3"/>
        <v>0</v>
      </c>
      <c r="K59">
        <f t="shared" si="4"/>
        <v>1</v>
      </c>
      <c r="M59">
        <f t="shared" si="5"/>
        <v>345997.06909943826</v>
      </c>
      <c r="N59">
        <f t="shared" si="6"/>
        <v>181890.76008292759</v>
      </c>
      <c r="O59">
        <f t="shared" si="7"/>
        <v>1</v>
      </c>
      <c r="P59">
        <f t="shared" si="8"/>
        <v>0</v>
      </c>
      <c r="Q59">
        <f t="shared" si="9"/>
        <v>0</v>
      </c>
    </row>
    <row r="60" spans="1:17" x14ac:dyDescent="0.35">
      <c r="A60" s="1" t="s">
        <v>59</v>
      </c>
      <c r="B60">
        <v>453426.29309548379</v>
      </c>
      <c r="C60">
        <v>255744.97681949969</v>
      </c>
      <c r="D60">
        <f t="shared" si="0"/>
        <v>0</v>
      </c>
      <c r="F60">
        <v>475322.22869908559</v>
      </c>
      <c r="G60">
        <v>273068.09447287268</v>
      </c>
      <c r="H60">
        <f t="shared" si="1"/>
        <v>1</v>
      </c>
      <c r="I60">
        <f t="shared" si="2"/>
        <v>0</v>
      </c>
      <c r="J60">
        <f t="shared" si="3"/>
        <v>0</v>
      </c>
      <c r="K60">
        <f t="shared" si="4"/>
        <v>1</v>
      </c>
      <c r="M60">
        <f t="shared" si="5"/>
        <v>197681.31627598411</v>
      </c>
      <c r="N60">
        <f t="shared" si="6"/>
        <v>202254.13422621292</v>
      </c>
      <c r="O60">
        <f t="shared" si="7"/>
        <v>0</v>
      </c>
      <c r="P60">
        <f t="shared" si="8"/>
        <v>0</v>
      </c>
      <c r="Q60">
        <f t="shared" si="9"/>
        <v>0</v>
      </c>
    </row>
    <row r="61" spans="1:17" x14ac:dyDescent="0.35">
      <c r="A61" s="1" t="s">
        <v>60</v>
      </c>
      <c r="B61">
        <v>433733.83585334418</v>
      </c>
      <c r="C61">
        <v>38332.130219317718</v>
      </c>
      <c r="D61">
        <f t="shared" si="0"/>
        <v>0</v>
      </c>
      <c r="F61">
        <v>62457.743156199678</v>
      </c>
      <c r="G61">
        <v>119776.7366173802</v>
      </c>
      <c r="H61">
        <f t="shared" si="1"/>
        <v>0</v>
      </c>
      <c r="I61">
        <f t="shared" si="2"/>
        <v>0</v>
      </c>
      <c r="J61">
        <f t="shared" si="3"/>
        <v>1</v>
      </c>
      <c r="K61">
        <f t="shared" si="4"/>
        <v>0</v>
      </c>
      <c r="M61">
        <f t="shared" si="5"/>
        <v>395401.70563402644</v>
      </c>
      <c r="N61">
        <f t="shared" si="6"/>
        <v>57318.993461180522</v>
      </c>
      <c r="O61">
        <f t="shared" si="7"/>
        <v>0</v>
      </c>
      <c r="P61">
        <f t="shared" si="8"/>
        <v>0</v>
      </c>
      <c r="Q61">
        <f t="shared" si="9"/>
        <v>0</v>
      </c>
    </row>
    <row r="62" spans="1:17" x14ac:dyDescent="0.35">
      <c r="A62" s="1" t="s">
        <v>61</v>
      </c>
      <c r="B62">
        <v>304643.63594154711</v>
      </c>
      <c r="C62">
        <v>202515.4914954525</v>
      </c>
      <c r="D62">
        <f t="shared" si="0"/>
        <v>0</v>
      </c>
      <c r="F62">
        <v>529628.72102067922</v>
      </c>
      <c r="G62">
        <v>270564.35928192001</v>
      </c>
      <c r="H62">
        <f t="shared" si="1"/>
        <v>1</v>
      </c>
      <c r="I62">
        <f t="shared" si="2"/>
        <v>0</v>
      </c>
      <c r="J62">
        <f t="shared" si="3"/>
        <v>0</v>
      </c>
      <c r="K62">
        <f t="shared" si="4"/>
        <v>1</v>
      </c>
      <c r="M62">
        <f t="shared" si="5"/>
        <v>102128.14444609461</v>
      </c>
      <c r="N62">
        <f t="shared" si="6"/>
        <v>259064.36173875921</v>
      </c>
      <c r="O62">
        <f t="shared" si="7"/>
        <v>0</v>
      </c>
      <c r="P62">
        <f t="shared" si="8"/>
        <v>1</v>
      </c>
      <c r="Q62">
        <f t="shared" si="9"/>
        <v>0</v>
      </c>
    </row>
    <row r="63" spans="1:17" x14ac:dyDescent="0.35">
      <c r="A63" s="1" t="s">
        <v>62</v>
      </c>
      <c r="B63">
        <v>156425.09706990799</v>
      </c>
      <c r="C63">
        <v>111979.3689575652</v>
      </c>
      <c r="D63">
        <f t="shared" si="0"/>
        <v>0</v>
      </c>
      <c r="F63">
        <v>364079.279757326</v>
      </c>
      <c r="G63">
        <v>189542.0692551893</v>
      </c>
      <c r="H63">
        <f t="shared" si="1"/>
        <v>1</v>
      </c>
      <c r="I63">
        <f t="shared" si="2"/>
        <v>0</v>
      </c>
      <c r="J63">
        <f t="shared" si="3"/>
        <v>0</v>
      </c>
      <c r="K63">
        <f t="shared" si="4"/>
        <v>1</v>
      </c>
      <c r="M63">
        <f t="shared" si="5"/>
        <v>44445.728112342797</v>
      </c>
      <c r="N63">
        <f t="shared" si="6"/>
        <v>174537.2105021367</v>
      </c>
      <c r="O63">
        <f t="shared" si="7"/>
        <v>0</v>
      </c>
      <c r="P63">
        <f t="shared" si="8"/>
        <v>1</v>
      </c>
      <c r="Q63">
        <f t="shared" si="9"/>
        <v>0</v>
      </c>
    </row>
    <row r="64" spans="1:17" x14ac:dyDescent="0.35">
      <c r="A64" s="1" t="s">
        <v>63</v>
      </c>
      <c r="B64">
        <v>569002.55082796828</v>
      </c>
      <c r="C64">
        <v>188851.423102931</v>
      </c>
      <c r="D64">
        <f t="shared" si="0"/>
        <v>0</v>
      </c>
      <c r="F64">
        <v>481436.61585477408</v>
      </c>
      <c r="G64">
        <v>360479.07208404801</v>
      </c>
      <c r="H64">
        <f t="shared" si="1"/>
        <v>1</v>
      </c>
      <c r="I64">
        <f t="shared" si="2"/>
        <v>0</v>
      </c>
      <c r="J64">
        <f t="shared" si="3"/>
        <v>0</v>
      </c>
      <c r="K64">
        <f t="shared" si="4"/>
        <v>1</v>
      </c>
      <c r="M64">
        <f t="shared" si="5"/>
        <v>380151.12772503728</v>
      </c>
      <c r="N64">
        <f t="shared" si="6"/>
        <v>120957.54377072607</v>
      </c>
      <c r="O64">
        <f t="shared" si="7"/>
        <v>1</v>
      </c>
      <c r="P64">
        <f t="shared" si="8"/>
        <v>0</v>
      </c>
      <c r="Q64">
        <f t="shared" si="9"/>
        <v>0</v>
      </c>
    </row>
    <row r="65" spans="1:17" x14ac:dyDescent="0.35">
      <c r="A65" s="1" t="s">
        <v>64</v>
      </c>
      <c r="B65">
        <v>63.48</v>
      </c>
      <c r="C65">
        <v>10171.510822121199</v>
      </c>
      <c r="D65">
        <f t="shared" si="0"/>
        <v>1</v>
      </c>
      <c r="F65">
        <v>1420229.976207898</v>
      </c>
      <c r="G65">
        <v>1483.8423912535841</v>
      </c>
      <c r="H65">
        <f t="shared" si="1"/>
        <v>1</v>
      </c>
      <c r="I65">
        <f t="shared" si="2"/>
        <v>1</v>
      </c>
      <c r="J65">
        <f t="shared" si="3"/>
        <v>0</v>
      </c>
      <c r="K65">
        <f t="shared" si="4"/>
        <v>0</v>
      </c>
      <c r="M65">
        <f t="shared" si="5"/>
        <v>10108.0308221212</v>
      </c>
      <c r="N65">
        <f t="shared" si="6"/>
        <v>1418746.1338166443</v>
      </c>
      <c r="O65">
        <f t="shared" si="7"/>
        <v>0</v>
      </c>
      <c r="P65">
        <f t="shared" si="8"/>
        <v>0</v>
      </c>
      <c r="Q65">
        <f t="shared" si="9"/>
        <v>0</v>
      </c>
    </row>
    <row r="66" spans="1:17" x14ac:dyDescent="0.35">
      <c r="A66" s="1" t="s">
        <v>65</v>
      </c>
      <c r="B66">
        <v>1528.0384615384619</v>
      </c>
      <c r="C66">
        <v>10154.02288820992</v>
      </c>
      <c r="D66">
        <f t="shared" si="0"/>
        <v>1</v>
      </c>
      <c r="F66">
        <v>298743.59960573481</v>
      </c>
      <c r="G66">
        <v>1786.6307347670249</v>
      </c>
      <c r="H66">
        <f t="shared" si="1"/>
        <v>1</v>
      </c>
      <c r="I66">
        <f t="shared" si="2"/>
        <v>1</v>
      </c>
      <c r="J66">
        <f t="shared" si="3"/>
        <v>0</v>
      </c>
      <c r="K66">
        <f t="shared" si="4"/>
        <v>0</v>
      </c>
      <c r="M66">
        <f t="shared" si="5"/>
        <v>8625.9844266714572</v>
      </c>
      <c r="N66">
        <f t="shared" si="6"/>
        <v>296956.9688709678</v>
      </c>
      <c r="O66">
        <f t="shared" si="7"/>
        <v>0</v>
      </c>
      <c r="P66">
        <f t="shared" si="8"/>
        <v>0</v>
      </c>
      <c r="Q66">
        <f t="shared" si="9"/>
        <v>0</v>
      </c>
    </row>
    <row r="67" spans="1:17" x14ac:dyDescent="0.35">
      <c r="A67" s="1" t="s">
        <v>66</v>
      </c>
      <c r="B67">
        <v>27612.701621621622</v>
      </c>
      <c r="C67">
        <v>112968.62358177009</v>
      </c>
      <c r="D67">
        <f t="shared" si="0"/>
        <v>1</v>
      </c>
      <c r="F67">
        <v>717925.21554730996</v>
      </c>
      <c r="G67">
        <v>32153.15183003504</v>
      </c>
      <c r="H67">
        <f t="shared" si="1"/>
        <v>1</v>
      </c>
      <c r="I67">
        <f t="shared" si="2"/>
        <v>1</v>
      </c>
      <c r="J67">
        <f t="shared" si="3"/>
        <v>0</v>
      </c>
      <c r="K67">
        <f t="shared" si="4"/>
        <v>0</v>
      </c>
      <c r="M67">
        <f t="shared" si="5"/>
        <v>85355.921960148466</v>
      </c>
      <c r="N67">
        <f t="shared" si="6"/>
        <v>685772.06371727493</v>
      </c>
      <c r="O67">
        <f t="shared" si="7"/>
        <v>0</v>
      </c>
      <c r="P67">
        <f t="shared" si="8"/>
        <v>0</v>
      </c>
      <c r="Q67">
        <f t="shared" si="9"/>
        <v>0</v>
      </c>
    </row>
    <row r="68" spans="1:17" x14ac:dyDescent="0.35">
      <c r="A68" s="1" t="s">
        <v>67</v>
      </c>
      <c r="B68">
        <v>601603.99702745012</v>
      </c>
      <c r="C68">
        <v>381197.0329213388</v>
      </c>
      <c r="D68">
        <f t="shared" ref="D68:D102" si="10">IF(B68&lt;C68,1,0)</f>
        <v>0</v>
      </c>
      <c r="F68">
        <v>483652.4764049417</v>
      </c>
      <c r="G68">
        <v>390356.80991581897</v>
      </c>
      <c r="H68">
        <f t="shared" ref="H68:H102" si="11">IF(F68&gt;G68,1,0)</f>
        <v>1</v>
      </c>
      <c r="I68">
        <f t="shared" ref="I68:I102" si="12">IF(D68+H68=2,1,0)</f>
        <v>0</v>
      </c>
      <c r="J68">
        <f t="shared" ref="J68:J102" si="13">IF(D68+H68=0,1,0)</f>
        <v>0</v>
      </c>
      <c r="K68">
        <f t="shared" ref="K68:K102" si="14">IF(D68+H68=1,1,0)</f>
        <v>1</v>
      </c>
      <c r="M68">
        <f t="shared" ref="M68:M102" si="15">ABS(B68-C68)</f>
        <v>220406.96410611132</v>
      </c>
      <c r="N68">
        <f t="shared" ref="N68:N102" si="16">ABS(F68-G68)</f>
        <v>93295.666489122726</v>
      </c>
      <c r="O68">
        <f t="shared" ref="O68:O102" si="17">IF(AND(K68=1, (M68-N68)&gt;N68*0.5),1,0)</f>
        <v>1</v>
      </c>
      <c r="P68">
        <f t="shared" ref="P68:P102" si="18">IF(AND(K68=1, (N68-M68)&gt;M68*0.5),1,0)</f>
        <v>0</v>
      </c>
      <c r="Q68">
        <f t="shared" ref="Q68:Q102" si="19">IF(AND(O68=1,P68=1),1,0)</f>
        <v>0</v>
      </c>
    </row>
    <row r="69" spans="1:17" x14ac:dyDescent="0.35">
      <c r="A69" s="1" t="s">
        <v>68</v>
      </c>
      <c r="B69">
        <v>390925.36855305848</v>
      </c>
      <c r="C69">
        <v>213862.834806909</v>
      </c>
      <c r="D69">
        <f t="shared" si="10"/>
        <v>0</v>
      </c>
      <c r="F69">
        <v>584079.44024625421</v>
      </c>
      <c r="G69">
        <v>309480.02303905209</v>
      </c>
      <c r="H69">
        <f t="shared" si="11"/>
        <v>1</v>
      </c>
      <c r="I69">
        <f t="shared" si="12"/>
        <v>0</v>
      </c>
      <c r="J69">
        <f t="shared" si="13"/>
        <v>0</v>
      </c>
      <c r="K69">
        <f t="shared" si="14"/>
        <v>1</v>
      </c>
      <c r="M69">
        <f t="shared" si="15"/>
        <v>177062.53374614948</v>
      </c>
      <c r="N69">
        <f t="shared" si="16"/>
        <v>274599.41720720212</v>
      </c>
      <c r="O69">
        <f t="shared" si="17"/>
        <v>0</v>
      </c>
      <c r="P69">
        <f t="shared" si="18"/>
        <v>1</v>
      </c>
      <c r="Q69">
        <f t="shared" si="19"/>
        <v>0</v>
      </c>
    </row>
    <row r="70" spans="1:17" x14ac:dyDescent="0.35">
      <c r="A70" s="1" t="s">
        <v>69</v>
      </c>
      <c r="B70">
        <v>1004497.995574452</v>
      </c>
      <c r="C70">
        <v>872864.61158541194</v>
      </c>
      <c r="D70">
        <f t="shared" si="10"/>
        <v>0</v>
      </c>
      <c r="F70">
        <v>1403822.093806677</v>
      </c>
      <c r="G70">
        <v>577940.68870773166</v>
      </c>
      <c r="H70">
        <f t="shared" si="11"/>
        <v>1</v>
      </c>
      <c r="I70">
        <f t="shared" si="12"/>
        <v>0</v>
      </c>
      <c r="J70">
        <f t="shared" si="13"/>
        <v>0</v>
      </c>
      <c r="K70">
        <f t="shared" si="14"/>
        <v>1</v>
      </c>
      <c r="M70">
        <f t="shared" si="15"/>
        <v>131633.38398904004</v>
      </c>
      <c r="N70">
        <f t="shared" si="16"/>
        <v>825881.40509894537</v>
      </c>
      <c r="O70">
        <f t="shared" si="17"/>
        <v>0</v>
      </c>
      <c r="P70">
        <f t="shared" si="18"/>
        <v>1</v>
      </c>
      <c r="Q70">
        <f t="shared" si="19"/>
        <v>0</v>
      </c>
    </row>
    <row r="71" spans="1:17" x14ac:dyDescent="0.35">
      <c r="A71" s="1" t="s">
        <v>70</v>
      </c>
      <c r="B71">
        <v>375237.89850755362</v>
      </c>
      <c r="C71">
        <v>252508.82806669449</v>
      </c>
      <c r="D71">
        <f t="shared" si="10"/>
        <v>0</v>
      </c>
      <c r="F71">
        <v>22997.5</v>
      </c>
      <c r="G71">
        <v>9356.5071375682655</v>
      </c>
      <c r="H71">
        <f t="shared" si="11"/>
        <v>1</v>
      </c>
      <c r="I71">
        <f t="shared" si="12"/>
        <v>0</v>
      </c>
      <c r="J71">
        <f t="shared" si="13"/>
        <v>0</v>
      </c>
      <c r="K71">
        <f t="shared" si="14"/>
        <v>1</v>
      </c>
      <c r="M71">
        <f t="shared" si="15"/>
        <v>122729.07044085913</v>
      </c>
      <c r="N71">
        <f t="shared" si="16"/>
        <v>13640.992862431734</v>
      </c>
      <c r="O71">
        <f t="shared" si="17"/>
        <v>1</v>
      </c>
      <c r="P71">
        <f t="shared" si="18"/>
        <v>0</v>
      </c>
      <c r="Q71">
        <f t="shared" si="19"/>
        <v>0</v>
      </c>
    </row>
    <row r="72" spans="1:17" x14ac:dyDescent="0.35">
      <c r="A72" s="1" t="s">
        <v>71</v>
      </c>
      <c r="B72">
        <v>3414.3811594202898</v>
      </c>
      <c r="C72">
        <v>28484.35874541162</v>
      </c>
      <c r="D72">
        <f t="shared" si="10"/>
        <v>1</v>
      </c>
      <c r="F72">
        <v>192543.55219401349</v>
      </c>
      <c r="G72">
        <v>7402.4450086193383</v>
      </c>
      <c r="H72">
        <f t="shared" si="11"/>
        <v>1</v>
      </c>
      <c r="I72">
        <f t="shared" si="12"/>
        <v>1</v>
      </c>
      <c r="J72">
        <f t="shared" si="13"/>
        <v>0</v>
      </c>
      <c r="K72">
        <f t="shared" si="14"/>
        <v>0</v>
      </c>
      <c r="M72">
        <f t="shared" si="15"/>
        <v>25069.977585991332</v>
      </c>
      <c r="N72">
        <f t="shared" si="16"/>
        <v>185141.10718539415</v>
      </c>
      <c r="O72">
        <f t="shared" si="17"/>
        <v>0</v>
      </c>
      <c r="P72">
        <f t="shared" si="18"/>
        <v>0</v>
      </c>
      <c r="Q72">
        <f t="shared" si="19"/>
        <v>0</v>
      </c>
    </row>
    <row r="73" spans="1:17" x14ac:dyDescent="0.35">
      <c r="A73" s="1" t="s">
        <v>72</v>
      </c>
      <c r="B73">
        <v>17465.31078431373</v>
      </c>
      <c r="C73">
        <v>254436.24947436489</v>
      </c>
      <c r="D73">
        <f t="shared" si="10"/>
        <v>1</v>
      </c>
      <c r="F73">
        <v>883773.35205934267</v>
      </c>
      <c r="G73">
        <v>16970.79213601186</v>
      </c>
      <c r="H73">
        <f t="shared" si="11"/>
        <v>1</v>
      </c>
      <c r="I73">
        <f t="shared" si="12"/>
        <v>1</v>
      </c>
      <c r="J73">
        <f t="shared" si="13"/>
        <v>0</v>
      </c>
      <c r="K73">
        <f t="shared" si="14"/>
        <v>0</v>
      </c>
      <c r="M73">
        <f t="shared" si="15"/>
        <v>236970.93869005115</v>
      </c>
      <c r="N73">
        <f t="shared" si="16"/>
        <v>866802.55992333079</v>
      </c>
      <c r="O73">
        <f t="shared" si="17"/>
        <v>0</v>
      </c>
      <c r="P73">
        <f t="shared" si="18"/>
        <v>0</v>
      </c>
      <c r="Q73">
        <f t="shared" si="19"/>
        <v>0</v>
      </c>
    </row>
    <row r="74" spans="1:17" x14ac:dyDescent="0.35">
      <c r="A74" s="1" t="s">
        <v>73</v>
      </c>
      <c r="B74">
        <v>927006.76139804639</v>
      </c>
      <c r="C74">
        <v>290649.83648962138</v>
      </c>
      <c r="D74">
        <f t="shared" si="10"/>
        <v>0</v>
      </c>
      <c r="F74">
        <v>619961.35466315562</v>
      </c>
      <c r="G74">
        <v>498842.02911272028</v>
      </c>
      <c r="H74">
        <f t="shared" si="11"/>
        <v>1</v>
      </c>
      <c r="I74">
        <f t="shared" si="12"/>
        <v>0</v>
      </c>
      <c r="J74">
        <f t="shared" si="13"/>
        <v>0</v>
      </c>
      <c r="K74">
        <f t="shared" si="14"/>
        <v>1</v>
      </c>
      <c r="M74">
        <f t="shared" si="15"/>
        <v>636356.92490842496</v>
      </c>
      <c r="N74">
        <f t="shared" si="16"/>
        <v>121119.32555043534</v>
      </c>
      <c r="O74">
        <f t="shared" si="17"/>
        <v>1</v>
      </c>
      <c r="P74">
        <f t="shared" si="18"/>
        <v>0</v>
      </c>
      <c r="Q74">
        <f t="shared" si="19"/>
        <v>0</v>
      </c>
    </row>
    <row r="75" spans="1:17" x14ac:dyDescent="0.35">
      <c r="A75" s="1" t="s">
        <v>74</v>
      </c>
      <c r="B75">
        <v>904094.18668790883</v>
      </c>
      <c r="C75">
        <v>302129.34943093121</v>
      </c>
      <c r="D75">
        <f t="shared" si="10"/>
        <v>0</v>
      </c>
      <c r="F75">
        <v>496580.31346275582</v>
      </c>
      <c r="G75">
        <v>602870.28868901078</v>
      </c>
      <c r="H75">
        <f t="shared" si="11"/>
        <v>0</v>
      </c>
      <c r="I75">
        <f t="shared" si="12"/>
        <v>0</v>
      </c>
      <c r="J75">
        <f t="shared" si="13"/>
        <v>1</v>
      </c>
      <c r="K75">
        <f t="shared" si="14"/>
        <v>0</v>
      </c>
      <c r="M75">
        <f t="shared" si="15"/>
        <v>601964.83725697757</v>
      </c>
      <c r="N75">
        <f t="shared" si="16"/>
        <v>106289.97522625496</v>
      </c>
      <c r="O75">
        <f t="shared" si="17"/>
        <v>0</v>
      </c>
      <c r="P75">
        <f t="shared" si="18"/>
        <v>0</v>
      </c>
      <c r="Q75">
        <f t="shared" si="19"/>
        <v>0</v>
      </c>
    </row>
    <row r="76" spans="1:17" x14ac:dyDescent="0.35">
      <c r="A76" s="1" t="s">
        <v>75</v>
      </c>
      <c r="B76">
        <v>387155.18845915538</v>
      </c>
      <c r="C76">
        <v>157004.27129129349</v>
      </c>
      <c r="D76">
        <f t="shared" si="10"/>
        <v>0</v>
      </c>
      <c r="F76">
        <v>557497.97583324136</v>
      </c>
      <c r="G76">
        <v>273721.8849289213</v>
      </c>
      <c r="H76">
        <f t="shared" si="11"/>
        <v>1</v>
      </c>
      <c r="I76">
        <f t="shared" si="12"/>
        <v>0</v>
      </c>
      <c r="J76">
        <f t="shared" si="13"/>
        <v>0</v>
      </c>
      <c r="K76">
        <f t="shared" si="14"/>
        <v>1</v>
      </c>
      <c r="M76">
        <f t="shared" si="15"/>
        <v>230150.91716786189</v>
      </c>
      <c r="N76">
        <f t="shared" si="16"/>
        <v>283776.09090432007</v>
      </c>
      <c r="O76">
        <f t="shared" si="17"/>
        <v>0</v>
      </c>
      <c r="P76">
        <f t="shared" si="18"/>
        <v>0</v>
      </c>
      <c r="Q76">
        <f t="shared" si="19"/>
        <v>0</v>
      </c>
    </row>
    <row r="77" spans="1:17" x14ac:dyDescent="0.35">
      <c r="A77" s="1" t="s">
        <v>76</v>
      </c>
      <c r="B77">
        <v>401673.03125204082</v>
      </c>
      <c r="C77">
        <v>228329.07688911181</v>
      </c>
      <c r="D77">
        <f t="shared" si="10"/>
        <v>0</v>
      </c>
      <c r="F77">
        <v>403393.48259140732</v>
      </c>
      <c r="G77">
        <v>322792.29917159659</v>
      </c>
      <c r="H77">
        <f t="shared" si="11"/>
        <v>1</v>
      </c>
      <c r="I77">
        <f t="shared" si="12"/>
        <v>0</v>
      </c>
      <c r="J77">
        <f t="shared" si="13"/>
        <v>0</v>
      </c>
      <c r="K77">
        <f t="shared" si="14"/>
        <v>1</v>
      </c>
      <c r="M77">
        <f t="shared" si="15"/>
        <v>173343.95436292901</v>
      </c>
      <c r="N77">
        <f t="shared" si="16"/>
        <v>80601.183419810724</v>
      </c>
      <c r="O77">
        <f t="shared" si="17"/>
        <v>1</v>
      </c>
      <c r="P77">
        <f t="shared" si="18"/>
        <v>0</v>
      </c>
      <c r="Q77">
        <f t="shared" si="19"/>
        <v>0</v>
      </c>
    </row>
    <row r="78" spans="1:17" x14ac:dyDescent="0.35">
      <c r="A78" s="1" t="s">
        <v>77</v>
      </c>
      <c r="B78">
        <v>52.043478260869563</v>
      </c>
      <c r="C78">
        <v>15682.93240976167</v>
      </c>
      <c r="D78">
        <f t="shared" si="10"/>
        <v>1</v>
      </c>
      <c r="F78">
        <v>211230.54299698799</v>
      </c>
      <c r="G78">
        <v>627.42581994645252</v>
      </c>
      <c r="H78">
        <f t="shared" si="11"/>
        <v>1</v>
      </c>
      <c r="I78">
        <f t="shared" si="12"/>
        <v>1</v>
      </c>
      <c r="J78">
        <f t="shared" si="13"/>
        <v>0</v>
      </c>
      <c r="K78">
        <f t="shared" si="14"/>
        <v>0</v>
      </c>
      <c r="M78">
        <f t="shared" si="15"/>
        <v>15630.8889315008</v>
      </c>
      <c r="N78">
        <f t="shared" si="16"/>
        <v>210603.11717704154</v>
      </c>
      <c r="O78">
        <f t="shared" si="17"/>
        <v>0</v>
      </c>
      <c r="P78">
        <f t="shared" si="18"/>
        <v>0</v>
      </c>
      <c r="Q78">
        <f t="shared" si="19"/>
        <v>0</v>
      </c>
    </row>
    <row r="79" spans="1:17" x14ac:dyDescent="0.35">
      <c r="A79" s="1" t="s">
        <v>78</v>
      </c>
      <c r="B79">
        <v>184223.999576211</v>
      </c>
      <c r="C79">
        <v>114897.97538353009</v>
      </c>
      <c r="D79">
        <f t="shared" si="10"/>
        <v>0</v>
      </c>
      <c r="F79">
        <v>395539.1747754137</v>
      </c>
      <c r="G79">
        <v>238876.89584909379</v>
      </c>
      <c r="H79">
        <f t="shared" si="11"/>
        <v>1</v>
      </c>
      <c r="I79">
        <f t="shared" si="12"/>
        <v>0</v>
      </c>
      <c r="J79">
        <f t="shared" si="13"/>
        <v>0</v>
      </c>
      <c r="K79">
        <f t="shared" si="14"/>
        <v>1</v>
      </c>
      <c r="M79">
        <f t="shared" si="15"/>
        <v>69326.02419268091</v>
      </c>
      <c r="N79">
        <f t="shared" si="16"/>
        <v>156662.27892631991</v>
      </c>
      <c r="O79">
        <f t="shared" si="17"/>
        <v>0</v>
      </c>
      <c r="P79">
        <f t="shared" si="18"/>
        <v>1</v>
      </c>
      <c r="Q79">
        <f t="shared" si="19"/>
        <v>0</v>
      </c>
    </row>
    <row r="80" spans="1:17" x14ac:dyDescent="0.35">
      <c r="A80" s="1" t="s">
        <v>79</v>
      </c>
      <c r="B80">
        <v>2022.657024793388</v>
      </c>
      <c r="C80">
        <v>42081.594783740809</v>
      </c>
      <c r="D80">
        <f t="shared" si="10"/>
        <v>1</v>
      </c>
      <c r="F80">
        <v>203582.66236869749</v>
      </c>
      <c r="G80">
        <v>4927.8858329442883</v>
      </c>
      <c r="H80">
        <f t="shared" si="11"/>
        <v>1</v>
      </c>
      <c r="I80">
        <f t="shared" si="12"/>
        <v>1</v>
      </c>
      <c r="J80">
        <f t="shared" si="13"/>
        <v>0</v>
      </c>
      <c r="K80">
        <f t="shared" si="14"/>
        <v>0</v>
      </c>
      <c r="M80">
        <f t="shared" si="15"/>
        <v>40058.937758947424</v>
      </c>
      <c r="N80">
        <f t="shared" si="16"/>
        <v>198654.77653575322</v>
      </c>
      <c r="O80">
        <f t="shared" si="17"/>
        <v>0</v>
      </c>
      <c r="P80">
        <f t="shared" si="18"/>
        <v>0</v>
      </c>
      <c r="Q80">
        <f t="shared" si="19"/>
        <v>0</v>
      </c>
    </row>
    <row r="81" spans="1:17" x14ac:dyDescent="0.35">
      <c r="A81" s="1" t="s">
        <v>80</v>
      </c>
      <c r="B81">
        <v>115.1111111111111</v>
      </c>
      <c r="C81">
        <v>18983.615372218381</v>
      </c>
      <c r="D81">
        <f t="shared" si="10"/>
        <v>1</v>
      </c>
      <c r="F81">
        <v>20383.5</v>
      </c>
      <c r="G81">
        <v>17.428829541154759</v>
      </c>
      <c r="H81">
        <f t="shared" si="11"/>
        <v>1</v>
      </c>
      <c r="I81">
        <f t="shared" si="12"/>
        <v>1</v>
      </c>
      <c r="J81">
        <f t="shared" si="13"/>
        <v>0</v>
      </c>
      <c r="K81">
        <f t="shared" si="14"/>
        <v>0</v>
      </c>
      <c r="M81">
        <f t="shared" si="15"/>
        <v>18868.504261107271</v>
      </c>
      <c r="N81">
        <f t="shared" si="16"/>
        <v>20366.071170458847</v>
      </c>
      <c r="O81">
        <f t="shared" si="17"/>
        <v>0</v>
      </c>
      <c r="P81">
        <f t="shared" si="18"/>
        <v>0</v>
      </c>
      <c r="Q81">
        <f t="shared" si="19"/>
        <v>0</v>
      </c>
    </row>
    <row r="82" spans="1:17" x14ac:dyDescent="0.35">
      <c r="A82" s="1" t="s">
        <v>81</v>
      </c>
      <c r="B82">
        <v>1126193.084379107</v>
      </c>
      <c r="C82">
        <v>542636.24081641971</v>
      </c>
      <c r="D82">
        <f t="shared" si="10"/>
        <v>0</v>
      </c>
      <c r="F82">
        <v>1085635.8429343631</v>
      </c>
      <c r="G82">
        <v>747083.2730212356</v>
      </c>
      <c r="H82">
        <f t="shared" si="11"/>
        <v>1</v>
      </c>
      <c r="I82">
        <f t="shared" si="12"/>
        <v>0</v>
      </c>
      <c r="J82">
        <f t="shared" si="13"/>
        <v>0</v>
      </c>
      <c r="K82">
        <f t="shared" si="14"/>
        <v>1</v>
      </c>
      <c r="M82">
        <f t="shared" si="15"/>
        <v>583556.84356268728</v>
      </c>
      <c r="N82">
        <f t="shared" si="16"/>
        <v>338552.56991312746</v>
      </c>
      <c r="O82">
        <f t="shared" si="17"/>
        <v>1</v>
      </c>
      <c r="P82">
        <f t="shared" si="18"/>
        <v>0</v>
      </c>
      <c r="Q82">
        <f t="shared" si="19"/>
        <v>0</v>
      </c>
    </row>
    <row r="83" spans="1:17" x14ac:dyDescent="0.35">
      <c r="A83" s="1" t="s">
        <v>82</v>
      </c>
      <c r="B83">
        <v>330746.08224958688</v>
      </c>
      <c r="C83">
        <v>133419.09796007819</v>
      </c>
      <c r="D83">
        <f t="shared" si="10"/>
        <v>0</v>
      </c>
      <c r="F83">
        <v>315429.53163580247</v>
      </c>
      <c r="G83">
        <v>284810.4033796296</v>
      </c>
      <c r="H83">
        <f t="shared" si="11"/>
        <v>1</v>
      </c>
      <c r="I83">
        <f t="shared" si="12"/>
        <v>0</v>
      </c>
      <c r="J83">
        <f t="shared" si="13"/>
        <v>0</v>
      </c>
      <c r="K83">
        <f t="shared" si="14"/>
        <v>1</v>
      </c>
      <c r="M83">
        <f t="shared" si="15"/>
        <v>197326.98428950869</v>
      </c>
      <c r="N83">
        <f t="shared" si="16"/>
        <v>30619.128256172873</v>
      </c>
      <c r="O83">
        <f t="shared" si="17"/>
        <v>1</v>
      </c>
      <c r="P83">
        <f t="shared" si="18"/>
        <v>0</v>
      </c>
      <c r="Q83">
        <f t="shared" si="19"/>
        <v>0</v>
      </c>
    </row>
    <row r="84" spans="1:17" x14ac:dyDescent="0.35">
      <c r="A84" s="1" t="s">
        <v>83</v>
      </c>
      <c r="B84">
        <v>159515.58848936399</v>
      </c>
      <c r="C84">
        <v>177362.91770597131</v>
      </c>
      <c r="D84">
        <f t="shared" si="10"/>
        <v>1</v>
      </c>
      <c r="F84">
        <v>244993.5978860186</v>
      </c>
      <c r="G84">
        <v>149883.62420080209</v>
      </c>
      <c r="H84">
        <f t="shared" si="11"/>
        <v>1</v>
      </c>
      <c r="I84">
        <f t="shared" si="12"/>
        <v>1</v>
      </c>
      <c r="J84">
        <f t="shared" si="13"/>
        <v>0</v>
      </c>
      <c r="K84">
        <f t="shared" si="14"/>
        <v>0</v>
      </c>
      <c r="M84">
        <f t="shared" si="15"/>
        <v>17847.329216607322</v>
      </c>
      <c r="N84">
        <f t="shared" si="16"/>
        <v>95109.973685216508</v>
      </c>
      <c r="O84">
        <f t="shared" si="17"/>
        <v>0</v>
      </c>
      <c r="P84">
        <f t="shared" si="18"/>
        <v>0</v>
      </c>
      <c r="Q84">
        <f t="shared" si="19"/>
        <v>0</v>
      </c>
    </row>
    <row r="85" spans="1:17" x14ac:dyDescent="0.35">
      <c r="A85" s="1" t="s">
        <v>84</v>
      </c>
      <c r="B85">
        <v>1367953.231132353</v>
      </c>
      <c r="C85">
        <v>449520.2790081072</v>
      </c>
      <c r="D85">
        <f t="shared" si="10"/>
        <v>0</v>
      </c>
      <c r="F85">
        <v>669636.85983348149</v>
      </c>
      <c r="G85">
        <v>579322.0536761441</v>
      </c>
      <c r="H85">
        <f t="shared" si="11"/>
        <v>1</v>
      </c>
      <c r="I85">
        <f t="shared" si="12"/>
        <v>0</v>
      </c>
      <c r="J85">
        <f t="shared" si="13"/>
        <v>0</v>
      </c>
      <c r="K85">
        <f t="shared" si="14"/>
        <v>1</v>
      </c>
      <c r="M85">
        <f t="shared" si="15"/>
        <v>918432.9521242457</v>
      </c>
      <c r="N85">
        <f t="shared" si="16"/>
        <v>90314.806157337385</v>
      </c>
      <c r="O85">
        <f t="shared" si="17"/>
        <v>1</v>
      </c>
      <c r="P85">
        <f t="shared" si="18"/>
        <v>0</v>
      </c>
      <c r="Q85">
        <f t="shared" si="19"/>
        <v>0</v>
      </c>
    </row>
    <row r="86" spans="1:17" x14ac:dyDescent="0.35">
      <c r="A86" s="1" t="s">
        <v>85</v>
      </c>
      <c r="B86">
        <v>178</v>
      </c>
      <c r="C86">
        <v>8294.7099290207552</v>
      </c>
      <c r="D86">
        <f t="shared" si="10"/>
        <v>1</v>
      </c>
      <c r="F86">
        <v>351784.70987136458</v>
      </c>
      <c r="G86">
        <v>1231.630714019389</v>
      </c>
      <c r="H86">
        <f t="shared" si="11"/>
        <v>1</v>
      </c>
      <c r="I86">
        <f t="shared" si="12"/>
        <v>1</v>
      </c>
      <c r="J86">
        <f t="shared" si="13"/>
        <v>0</v>
      </c>
      <c r="K86">
        <f t="shared" si="14"/>
        <v>0</v>
      </c>
      <c r="M86">
        <f t="shared" si="15"/>
        <v>8116.7099290207552</v>
      </c>
      <c r="N86">
        <f t="shared" si="16"/>
        <v>350553.07915734517</v>
      </c>
      <c r="O86">
        <f t="shared" si="17"/>
        <v>0</v>
      </c>
      <c r="P86">
        <f t="shared" si="18"/>
        <v>0</v>
      </c>
      <c r="Q86">
        <f t="shared" si="19"/>
        <v>0</v>
      </c>
    </row>
    <row r="87" spans="1:17" x14ac:dyDescent="0.35">
      <c r="A87" s="1" t="s">
        <v>86</v>
      </c>
      <c r="B87">
        <v>623346.018526108</v>
      </c>
      <c r="C87">
        <v>263662.49938741431</v>
      </c>
      <c r="D87">
        <f t="shared" si="10"/>
        <v>0</v>
      </c>
      <c r="F87">
        <v>460310.78674164368</v>
      </c>
      <c r="G87">
        <v>425016.33758012822</v>
      </c>
      <c r="H87">
        <f t="shared" si="11"/>
        <v>1</v>
      </c>
      <c r="I87">
        <f t="shared" si="12"/>
        <v>0</v>
      </c>
      <c r="J87">
        <f t="shared" si="13"/>
        <v>0</v>
      </c>
      <c r="K87">
        <f t="shared" si="14"/>
        <v>1</v>
      </c>
      <c r="M87">
        <f t="shared" si="15"/>
        <v>359683.51913869369</v>
      </c>
      <c r="N87">
        <f t="shared" si="16"/>
        <v>35294.449161515455</v>
      </c>
      <c r="O87">
        <f t="shared" si="17"/>
        <v>1</v>
      </c>
      <c r="P87">
        <f t="shared" si="18"/>
        <v>0</v>
      </c>
      <c r="Q87">
        <f t="shared" si="19"/>
        <v>0</v>
      </c>
    </row>
    <row r="88" spans="1:17" x14ac:dyDescent="0.35">
      <c r="A88" s="1" t="s">
        <v>87</v>
      </c>
      <c r="B88">
        <v>519622.87859806122</v>
      </c>
      <c r="C88">
        <v>212979.5142877117</v>
      </c>
      <c r="D88">
        <f t="shared" si="10"/>
        <v>0</v>
      </c>
      <c r="F88">
        <v>510789.3629585327</v>
      </c>
      <c r="G88">
        <v>349393.2345295056</v>
      </c>
      <c r="H88">
        <f t="shared" si="11"/>
        <v>1</v>
      </c>
      <c r="I88">
        <f t="shared" si="12"/>
        <v>0</v>
      </c>
      <c r="J88">
        <f t="shared" si="13"/>
        <v>0</v>
      </c>
      <c r="K88">
        <f t="shared" si="14"/>
        <v>1</v>
      </c>
      <c r="M88">
        <f t="shared" si="15"/>
        <v>306643.36431034951</v>
      </c>
      <c r="N88">
        <f t="shared" si="16"/>
        <v>161396.1284290271</v>
      </c>
      <c r="O88">
        <f t="shared" si="17"/>
        <v>1</v>
      </c>
      <c r="P88">
        <f t="shared" si="18"/>
        <v>0</v>
      </c>
      <c r="Q88">
        <f t="shared" si="19"/>
        <v>0</v>
      </c>
    </row>
    <row r="89" spans="1:17" x14ac:dyDescent="0.35">
      <c r="A89" s="1" t="s">
        <v>88</v>
      </c>
      <c r="B89">
        <v>11295.54857142857</v>
      </c>
      <c r="C89">
        <v>88102.728279836607</v>
      </c>
      <c r="D89">
        <f t="shared" si="10"/>
        <v>1</v>
      </c>
      <c r="F89">
        <v>701535.80409779749</v>
      </c>
      <c r="G89">
        <v>16505.192007998048</v>
      </c>
      <c r="H89">
        <f t="shared" si="11"/>
        <v>1</v>
      </c>
      <c r="I89">
        <f t="shared" si="12"/>
        <v>1</v>
      </c>
      <c r="J89">
        <f t="shared" si="13"/>
        <v>0</v>
      </c>
      <c r="K89">
        <f t="shared" si="14"/>
        <v>0</v>
      </c>
      <c r="M89">
        <f t="shared" si="15"/>
        <v>76807.179708408032</v>
      </c>
      <c r="N89">
        <f t="shared" si="16"/>
        <v>685030.61208979948</v>
      </c>
      <c r="O89">
        <f t="shared" si="17"/>
        <v>0</v>
      </c>
      <c r="P89">
        <f t="shared" si="18"/>
        <v>0</v>
      </c>
      <c r="Q89">
        <f t="shared" si="19"/>
        <v>0</v>
      </c>
    </row>
    <row r="90" spans="1:17" x14ac:dyDescent="0.35">
      <c r="A90" s="1" t="s">
        <v>89</v>
      </c>
      <c r="B90">
        <v>5379.7387640449442</v>
      </c>
      <c r="C90">
        <v>62142.590627009027</v>
      </c>
      <c r="D90">
        <f t="shared" si="10"/>
        <v>1</v>
      </c>
      <c r="F90">
        <v>502041.97476220381</v>
      </c>
      <c r="G90">
        <v>6064.8288318134964</v>
      </c>
      <c r="H90">
        <f t="shared" si="11"/>
        <v>1</v>
      </c>
      <c r="I90">
        <f t="shared" si="12"/>
        <v>1</v>
      </c>
      <c r="J90">
        <f t="shared" si="13"/>
        <v>0</v>
      </c>
      <c r="K90">
        <f t="shared" si="14"/>
        <v>0</v>
      </c>
      <c r="M90">
        <f t="shared" si="15"/>
        <v>56762.851862964082</v>
      </c>
      <c r="N90">
        <f t="shared" si="16"/>
        <v>495977.14593039034</v>
      </c>
      <c r="O90">
        <f t="shared" si="17"/>
        <v>0</v>
      </c>
      <c r="P90">
        <f t="shared" si="18"/>
        <v>0</v>
      </c>
      <c r="Q90">
        <f t="shared" si="19"/>
        <v>0</v>
      </c>
    </row>
    <row r="91" spans="1:17" x14ac:dyDescent="0.35">
      <c r="A91" s="1" t="s">
        <v>90</v>
      </c>
      <c r="B91">
        <v>11515.490740740741</v>
      </c>
      <c r="C91">
        <v>121654.4955573426</v>
      </c>
      <c r="D91">
        <f t="shared" si="10"/>
        <v>1</v>
      </c>
      <c r="F91">
        <v>1038941.669739673</v>
      </c>
      <c r="G91">
        <v>19090.877985154901</v>
      </c>
      <c r="H91">
        <f t="shared" si="11"/>
        <v>1</v>
      </c>
      <c r="I91">
        <f t="shared" si="12"/>
        <v>1</v>
      </c>
      <c r="J91">
        <f t="shared" si="13"/>
        <v>0</v>
      </c>
      <c r="K91">
        <f t="shared" si="14"/>
        <v>0</v>
      </c>
      <c r="M91">
        <f t="shared" si="15"/>
        <v>110139.00481660185</v>
      </c>
      <c r="N91">
        <f t="shared" si="16"/>
        <v>1019850.7917545182</v>
      </c>
      <c r="O91">
        <f t="shared" si="17"/>
        <v>0</v>
      </c>
      <c r="P91">
        <f t="shared" si="18"/>
        <v>0</v>
      </c>
      <c r="Q91">
        <f t="shared" si="19"/>
        <v>0</v>
      </c>
    </row>
    <row r="92" spans="1:17" x14ac:dyDescent="0.35">
      <c r="A92" s="1" t="s">
        <v>91</v>
      </c>
      <c r="B92">
        <v>35</v>
      </c>
      <c r="C92">
        <v>2191.615181167509</v>
      </c>
      <c r="D92">
        <f t="shared" si="10"/>
        <v>1</v>
      </c>
      <c r="F92">
        <v>455099.79331977351</v>
      </c>
      <c r="G92">
        <v>712.96135173220591</v>
      </c>
      <c r="H92">
        <f t="shared" si="11"/>
        <v>1</v>
      </c>
      <c r="I92">
        <f t="shared" si="12"/>
        <v>1</v>
      </c>
      <c r="J92">
        <f t="shared" si="13"/>
        <v>0</v>
      </c>
      <c r="K92">
        <f t="shared" si="14"/>
        <v>0</v>
      </c>
      <c r="M92">
        <f t="shared" si="15"/>
        <v>2156.615181167509</v>
      </c>
      <c r="N92">
        <f t="shared" si="16"/>
        <v>454386.83196804131</v>
      </c>
      <c r="O92">
        <f t="shared" si="17"/>
        <v>0</v>
      </c>
      <c r="P92">
        <f t="shared" si="18"/>
        <v>0</v>
      </c>
      <c r="Q92">
        <f t="shared" si="19"/>
        <v>0</v>
      </c>
    </row>
    <row r="93" spans="1:17" x14ac:dyDescent="0.35">
      <c r="A93" s="1" t="s">
        <v>92</v>
      </c>
      <c r="B93">
        <v>2606.7986111111109</v>
      </c>
      <c r="C93">
        <v>51650.73364169267</v>
      </c>
      <c r="D93">
        <f t="shared" si="10"/>
        <v>1</v>
      </c>
      <c r="F93">
        <v>283520.83147630689</v>
      </c>
      <c r="G93">
        <v>3697.7272194085458</v>
      </c>
      <c r="H93">
        <f t="shared" si="11"/>
        <v>1</v>
      </c>
      <c r="I93">
        <f t="shared" si="12"/>
        <v>1</v>
      </c>
      <c r="J93">
        <f t="shared" si="13"/>
        <v>0</v>
      </c>
      <c r="K93">
        <f t="shared" si="14"/>
        <v>0</v>
      </c>
      <c r="M93">
        <f t="shared" si="15"/>
        <v>49043.935030581561</v>
      </c>
      <c r="N93">
        <f t="shared" si="16"/>
        <v>279823.10425689834</v>
      </c>
      <c r="O93">
        <f t="shared" si="17"/>
        <v>0</v>
      </c>
      <c r="P93">
        <f t="shared" si="18"/>
        <v>0</v>
      </c>
      <c r="Q93">
        <f t="shared" si="19"/>
        <v>0</v>
      </c>
    </row>
    <row r="94" spans="1:17" x14ac:dyDescent="0.35">
      <c r="A94" s="1" t="s">
        <v>93</v>
      </c>
      <c r="B94">
        <v>261648.97103544281</v>
      </c>
      <c r="C94">
        <v>119384.3096016778</v>
      </c>
      <c r="D94">
        <f t="shared" si="10"/>
        <v>0</v>
      </c>
      <c r="F94">
        <v>309843.07665082847</v>
      </c>
      <c r="G94">
        <v>142075.21419085909</v>
      </c>
      <c r="H94">
        <f t="shared" si="11"/>
        <v>1</v>
      </c>
      <c r="I94">
        <f t="shared" si="12"/>
        <v>0</v>
      </c>
      <c r="J94">
        <f t="shared" si="13"/>
        <v>0</v>
      </c>
      <c r="K94">
        <f t="shared" si="14"/>
        <v>1</v>
      </c>
      <c r="M94">
        <f t="shared" si="15"/>
        <v>142264.66143376502</v>
      </c>
      <c r="N94">
        <f t="shared" si="16"/>
        <v>167767.86245996939</v>
      </c>
      <c r="O94">
        <f t="shared" si="17"/>
        <v>0</v>
      </c>
      <c r="P94">
        <f t="shared" si="18"/>
        <v>0</v>
      </c>
      <c r="Q94">
        <f t="shared" si="19"/>
        <v>0</v>
      </c>
    </row>
    <row r="95" spans="1:17" x14ac:dyDescent="0.35">
      <c r="A95" s="1" t="s">
        <v>94</v>
      </c>
      <c r="B95">
        <v>672411.3019818305</v>
      </c>
      <c r="C95">
        <v>301020.2691937373</v>
      </c>
      <c r="D95">
        <f t="shared" si="10"/>
        <v>0</v>
      </c>
      <c r="F95">
        <v>637145.02076042001</v>
      </c>
      <c r="G95">
        <v>448241.34943790431</v>
      </c>
      <c r="H95">
        <f t="shared" si="11"/>
        <v>1</v>
      </c>
      <c r="I95">
        <f t="shared" si="12"/>
        <v>0</v>
      </c>
      <c r="J95">
        <f t="shared" si="13"/>
        <v>0</v>
      </c>
      <c r="K95">
        <f t="shared" si="14"/>
        <v>1</v>
      </c>
      <c r="M95">
        <f t="shared" si="15"/>
        <v>371391.0327880932</v>
      </c>
      <c r="N95">
        <f t="shared" si="16"/>
        <v>188903.6713225157</v>
      </c>
      <c r="O95">
        <f t="shared" si="17"/>
        <v>1</v>
      </c>
      <c r="P95">
        <f t="shared" si="18"/>
        <v>0</v>
      </c>
      <c r="Q95">
        <f t="shared" si="19"/>
        <v>0</v>
      </c>
    </row>
    <row r="96" spans="1:17" x14ac:dyDescent="0.35">
      <c r="A96" s="1" t="s">
        <v>95</v>
      </c>
      <c r="B96">
        <v>32304.21563573883</v>
      </c>
      <c r="C96">
        <v>95318.659779762791</v>
      </c>
      <c r="D96">
        <f t="shared" si="10"/>
        <v>1</v>
      </c>
      <c r="F96">
        <v>793408.9447847358</v>
      </c>
      <c r="G96">
        <v>42815.616574255269</v>
      </c>
      <c r="H96">
        <f t="shared" si="11"/>
        <v>1</v>
      </c>
      <c r="I96">
        <f t="shared" si="12"/>
        <v>1</v>
      </c>
      <c r="J96">
        <f t="shared" si="13"/>
        <v>0</v>
      </c>
      <c r="K96">
        <f t="shared" si="14"/>
        <v>0</v>
      </c>
      <c r="M96">
        <f t="shared" si="15"/>
        <v>63014.444144023961</v>
      </c>
      <c r="N96">
        <f t="shared" si="16"/>
        <v>750593.32821048051</v>
      </c>
      <c r="O96">
        <f t="shared" si="17"/>
        <v>0</v>
      </c>
      <c r="P96">
        <f t="shared" si="18"/>
        <v>0</v>
      </c>
      <c r="Q96">
        <f t="shared" si="19"/>
        <v>0</v>
      </c>
    </row>
    <row r="97" spans="1:17" x14ac:dyDescent="0.35">
      <c r="A97" s="1" t="s">
        <v>96</v>
      </c>
      <c r="B97">
        <v>444074.6427543537</v>
      </c>
      <c r="C97">
        <v>279686.98932560021</v>
      </c>
      <c r="D97">
        <f t="shared" si="10"/>
        <v>0</v>
      </c>
      <c r="F97">
        <v>877196.94062736211</v>
      </c>
      <c r="G97">
        <v>353487.62180650042</v>
      </c>
      <c r="H97">
        <f t="shared" si="11"/>
        <v>1</v>
      </c>
      <c r="I97">
        <f t="shared" si="12"/>
        <v>0</v>
      </c>
      <c r="J97">
        <f t="shared" si="13"/>
        <v>0</v>
      </c>
      <c r="K97">
        <f t="shared" si="14"/>
        <v>1</v>
      </c>
      <c r="M97">
        <f t="shared" si="15"/>
        <v>164387.65342875349</v>
      </c>
      <c r="N97">
        <f t="shared" si="16"/>
        <v>523709.31882086169</v>
      </c>
      <c r="O97">
        <f t="shared" si="17"/>
        <v>0</v>
      </c>
      <c r="P97">
        <f t="shared" si="18"/>
        <v>1</v>
      </c>
      <c r="Q97">
        <f t="shared" si="19"/>
        <v>0</v>
      </c>
    </row>
    <row r="98" spans="1:17" x14ac:dyDescent="0.35">
      <c r="A98" s="1" t="s">
        <v>97</v>
      </c>
      <c r="B98">
        <v>387634.19337336381</v>
      </c>
      <c r="C98">
        <v>594901.79747044411</v>
      </c>
      <c r="D98">
        <f t="shared" si="10"/>
        <v>1</v>
      </c>
      <c r="F98">
        <v>101767.3557881773</v>
      </c>
      <c r="G98">
        <v>62777.275259503847</v>
      </c>
      <c r="H98">
        <f t="shared" si="11"/>
        <v>1</v>
      </c>
      <c r="I98">
        <f t="shared" si="12"/>
        <v>1</v>
      </c>
      <c r="J98">
        <f t="shared" si="13"/>
        <v>0</v>
      </c>
      <c r="K98">
        <f t="shared" si="14"/>
        <v>0</v>
      </c>
      <c r="M98">
        <f t="shared" si="15"/>
        <v>207267.6040970803</v>
      </c>
      <c r="N98">
        <f t="shared" si="16"/>
        <v>38990.080528673454</v>
      </c>
      <c r="O98">
        <f t="shared" si="17"/>
        <v>0</v>
      </c>
      <c r="P98">
        <f t="shared" si="18"/>
        <v>0</v>
      </c>
      <c r="Q98">
        <f t="shared" si="19"/>
        <v>0</v>
      </c>
    </row>
    <row r="99" spans="1:17" x14ac:dyDescent="0.35">
      <c r="A99" s="1" t="s">
        <v>98</v>
      </c>
      <c r="B99">
        <v>206426.4433631365</v>
      </c>
      <c r="C99">
        <v>160988.0117707577</v>
      </c>
      <c r="D99">
        <f t="shared" si="10"/>
        <v>0</v>
      </c>
      <c r="F99">
        <v>358875.88610830472</v>
      </c>
      <c r="G99">
        <v>231493.1213398891</v>
      </c>
      <c r="H99">
        <f t="shared" si="11"/>
        <v>1</v>
      </c>
      <c r="I99">
        <f t="shared" si="12"/>
        <v>0</v>
      </c>
      <c r="J99">
        <f t="shared" si="13"/>
        <v>0</v>
      </c>
      <c r="K99">
        <f t="shared" si="14"/>
        <v>1</v>
      </c>
      <c r="M99">
        <f t="shared" si="15"/>
        <v>45438.431592378794</v>
      </c>
      <c r="N99">
        <f t="shared" si="16"/>
        <v>127382.76476841563</v>
      </c>
      <c r="O99">
        <f t="shared" si="17"/>
        <v>0</v>
      </c>
      <c r="P99">
        <f t="shared" si="18"/>
        <v>1</v>
      </c>
      <c r="Q99">
        <f t="shared" si="19"/>
        <v>0</v>
      </c>
    </row>
    <row r="100" spans="1:17" x14ac:dyDescent="0.35">
      <c r="A100" s="1" t="s">
        <v>99</v>
      </c>
      <c r="B100">
        <v>378368.39250451699</v>
      </c>
      <c r="C100">
        <v>204696.9518191285</v>
      </c>
      <c r="D100">
        <f t="shared" si="10"/>
        <v>0</v>
      </c>
      <c r="F100">
        <v>606558.6808884067</v>
      </c>
      <c r="G100">
        <v>230235.19614516891</v>
      </c>
      <c r="H100">
        <f t="shared" si="11"/>
        <v>1</v>
      </c>
      <c r="I100">
        <f t="shared" si="12"/>
        <v>0</v>
      </c>
      <c r="J100">
        <f t="shared" si="13"/>
        <v>0</v>
      </c>
      <c r="K100">
        <f t="shared" si="14"/>
        <v>1</v>
      </c>
      <c r="M100">
        <f t="shared" si="15"/>
        <v>173671.44068538849</v>
      </c>
      <c r="N100">
        <f t="shared" si="16"/>
        <v>376323.48474323779</v>
      </c>
      <c r="O100">
        <f t="shared" si="17"/>
        <v>0</v>
      </c>
      <c r="P100">
        <f t="shared" si="18"/>
        <v>1</v>
      </c>
      <c r="Q100">
        <f t="shared" si="19"/>
        <v>0</v>
      </c>
    </row>
    <row r="101" spans="1:17" x14ac:dyDescent="0.35">
      <c r="A101" s="1" t="s">
        <v>100</v>
      </c>
      <c r="B101">
        <v>10427.15079365079</v>
      </c>
      <c r="C101">
        <v>68686.695438078968</v>
      </c>
      <c r="D101">
        <f t="shared" si="10"/>
        <v>1</v>
      </c>
      <c r="F101">
        <v>740721.86252218881</v>
      </c>
      <c r="G101">
        <v>16531.033725013509</v>
      </c>
      <c r="H101">
        <f t="shared" si="11"/>
        <v>1</v>
      </c>
      <c r="I101">
        <f t="shared" si="12"/>
        <v>1</v>
      </c>
      <c r="J101">
        <f t="shared" si="13"/>
        <v>0</v>
      </c>
      <c r="K101">
        <f t="shared" si="14"/>
        <v>0</v>
      </c>
      <c r="M101">
        <f t="shared" si="15"/>
        <v>58259.544644428177</v>
      </c>
      <c r="N101">
        <f t="shared" si="16"/>
        <v>724190.82879717532</v>
      </c>
      <c r="O101">
        <f t="shared" si="17"/>
        <v>0</v>
      </c>
      <c r="P101">
        <f t="shared" si="18"/>
        <v>0</v>
      </c>
      <c r="Q101">
        <f t="shared" si="19"/>
        <v>0</v>
      </c>
    </row>
    <row r="102" spans="1:17" x14ac:dyDescent="0.35">
      <c r="A102" s="1" t="s">
        <v>101</v>
      </c>
      <c r="B102">
        <v>111464.25519215289</v>
      </c>
      <c r="C102">
        <v>42948.794701249957</v>
      </c>
      <c r="D102">
        <f t="shared" si="10"/>
        <v>0</v>
      </c>
      <c r="F102">
        <v>254541.7434968735</v>
      </c>
      <c r="G102">
        <v>131175.228968254</v>
      </c>
      <c r="H102">
        <f t="shared" si="11"/>
        <v>1</v>
      </c>
      <c r="I102">
        <f t="shared" si="12"/>
        <v>0</v>
      </c>
      <c r="J102">
        <f t="shared" si="13"/>
        <v>0</v>
      </c>
      <c r="K102">
        <f t="shared" si="14"/>
        <v>1</v>
      </c>
      <c r="M102">
        <f t="shared" si="15"/>
        <v>68515.460490902944</v>
      </c>
      <c r="N102">
        <f t="shared" si="16"/>
        <v>123366.5145286195</v>
      </c>
      <c r="O102">
        <f t="shared" si="17"/>
        <v>0</v>
      </c>
      <c r="P102">
        <f t="shared" si="18"/>
        <v>1</v>
      </c>
      <c r="Q102">
        <f t="shared" si="1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2025-05-13T08:47:46Z</dcterms:created>
  <dcterms:modified xsi:type="dcterms:W3CDTF">2025-05-13T09:02:40Z</dcterms:modified>
</cp:coreProperties>
</file>