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e/"/>
    </mc:Choice>
  </mc:AlternateContent>
  <xr:revisionPtr revIDLastSave="122" documentId="11_23F921EDE013CC12772C4C6695F443D465447108" xr6:coauthVersionLast="47" xr6:coauthVersionMax="47" xr10:uidLastSave="{60BEBE30-1C2B-440B-9215-D4906B710368}"/>
  <bookViews>
    <workbookView xWindow="10850" yWindow="2910" windowWidth="2199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1" i="1" l="1"/>
  <c r="D1" i="1"/>
</calcChain>
</file>

<file path=xl/sharedStrings.xml><?xml version="1.0" encoding="utf-8"?>
<sst xmlns="http://schemas.openxmlformats.org/spreadsheetml/2006/main" count="106" uniqueCount="102">
  <si>
    <t>Path(drop_duplicates_meanA)</t>
  </si>
  <si>
    <t>Path(drop_duplicates_meanB)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</si>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</sst>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C1" zoomScaleNormal="100" workbookViewId="0">
      <selection activeCell="K21" sqref="K21"/>
    </sheetView>
  </sheetViews>
  <sheetFormatPr defaultRowHeight="14.5" x14ac:dyDescent="0.35"/>
  <cols>
    <col min="1" max="1" width="8.81640625" bestFit="1" customWidth="1"/>
    <col min="2" max="2" width="26.81640625" bestFit="1" customWidth="1"/>
    <col min="3" max="3" width="26.7265625" bestFit="1" customWidth="1"/>
    <col min="4" max="4" width="26.7265625" customWidth="1"/>
    <col min="5" max="5" width="26.7265625" bestFit="1" customWidth="1"/>
    <col min="6" max="6" width="26.81640625" bestFit="1" customWidth="1"/>
    <col min="8" max="8" width="26.7265625" bestFit="1" customWidth="1"/>
    <col min="9" max="9" width="26.81640625" bestFit="1" customWidth="1"/>
  </cols>
  <sheetData>
    <row r="1" spans="1:9" x14ac:dyDescent="0.35">
      <c r="B1" s="1" t="s">
        <v>0</v>
      </c>
      <c r="C1" s="1" t="s">
        <v>1</v>
      </c>
      <c r="D1">
        <f>SUM(D2:D101)</f>
        <v>72</v>
      </c>
      <c r="E1" s="1" t="s">
        <v>1</v>
      </c>
      <c r="F1" s="1" t="s">
        <v>0</v>
      </c>
      <c r="G1">
        <f>SUM(G2:G101)</f>
        <v>75</v>
      </c>
      <c r="H1" s="1" t="s">
        <v>1</v>
      </c>
      <c r="I1" s="1" t="s">
        <v>0</v>
      </c>
    </row>
    <row r="2" spans="1:9" x14ac:dyDescent="0.35">
      <c r="A2" s="1" t="s">
        <v>2</v>
      </c>
      <c r="B2">
        <v>77261.178082191778</v>
      </c>
      <c r="C2">
        <v>185253.64429625709</v>
      </c>
      <c r="D2">
        <f t="shared" ref="D2:D65" si="0">IF(B2&lt;C2,1,0)</f>
        <v>1</v>
      </c>
      <c r="E2">
        <v>827742.45916795067</v>
      </c>
      <c r="F2">
        <v>139201.71463790449</v>
      </c>
      <c r="G2">
        <f>IF(E2&gt;F2,1,0)</f>
        <v>1</v>
      </c>
      <c r="H2">
        <f>B2+F2</f>
        <v>216462.89272009628</v>
      </c>
      <c r="I2">
        <f>C2+E2</f>
        <v>1012996.1034642077</v>
      </c>
    </row>
    <row r="3" spans="1:9" x14ac:dyDescent="0.35">
      <c r="A3" s="1" t="s">
        <v>3</v>
      </c>
      <c r="B3">
        <v>838274.86811023625</v>
      </c>
      <c r="C3">
        <v>829531.65600393701</v>
      </c>
      <c r="D3">
        <f t="shared" si="0"/>
        <v>0</v>
      </c>
      <c r="E3">
        <v>847383.77464788733</v>
      </c>
      <c r="F3">
        <v>807060.86921529169</v>
      </c>
      <c r="G3">
        <f t="shared" ref="G3:G66" si="1">IF(E3&gt;F3,1,0)</f>
        <v>1</v>
      </c>
      <c r="H3">
        <f>B3+F3</f>
        <v>1645335.7373255279</v>
      </c>
      <c r="I3">
        <f>C3+E3</f>
        <v>1676915.4306518245</v>
      </c>
    </row>
    <row r="4" spans="1:9" x14ac:dyDescent="0.35">
      <c r="A4" s="1" t="s">
        <v>4</v>
      </c>
      <c r="B4">
        <v>127.35294117647059</v>
      </c>
      <c r="C4">
        <v>18364.194877330079</v>
      </c>
      <c r="D4">
        <f t="shared" si="0"/>
        <v>1</v>
      </c>
      <c r="E4">
        <v>683728.02556390979</v>
      </c>
      <c r="F4">
        <v>3064.6807017543861</v>
      </c>
      <c r="G4">
        <f t="shared" si="1"/>
        <v>1</v>
      </c>
      <c r="H4">
        <f>B4+F4</f>
        <v>3192.0336429308568</v>
      </c>
      <c r="I4">
        <f>C4+E4</f>
        <v>702092.22044123989</v>
      </c>
    </row>
    <row r="5" spans="1:9" x14ac:dyDescent="0.35">
      <c r="A5" s="1" t="s">
        <v>5</v>
      </c>
      <c r="B5">
        <v>1028351.1640625</v>
      </c>
      <c r="C5">
        <v>707646.47109374998</v>
      </c>
      <c r="D5">
        <f t="shared" si="0"/>
        <v>0</v>
      </c>
      <c r="E5">
        <v>719295.91100323619</v>
      </c>
      <c r="F5">
        <v>950705.76321467105</v>
      </c>
      <c r="G5">
        <f t="shared" si="1"/>
        <v>0</v>
      </c>
      <c r="H5">
        <f>B5+F5</f>
        <v>1979056.9272771711</v>
      </c>
      <c r="I5">
        <f>C5+E5</f>
        <v>1426942.3820969863</v>
      </c>
    </row>
    <row r="6" spans="1:9" x14ac:dyDescent="0.35">
      <c r="A6" s="1" t="s">
        <v>6</v>
      </c>
      <c r="B6">
        <v>198</v>
      </c>
      <c r="C6">
        <v>21531.215611965908</v>
      </c>
      <c r="D6">
        <f t="shared" si="0"/>
        <v>1</v>
      </c>
      <c r="E6">
        <v>754637.36415094347</v>
      </c>
      <c r="F6">
        <v>2958.48427672956</v>
      </c>
      <c r="G6">
        <f t="shared" si="1"/>
        <v>1</v>
      </c>
      <c r="H6">
        <f>B6+F6</f>
        <v>3156.48427672956</v>
      </c>
      <c r="I6">
        <f>C6+E6</f>
        <v>776168.57976290933</v>
      </c>
    </row>
    <row r="7" spans="1:9" x14ac:dyDescent="0.35">
      <c r="A7" s="1" t="s">
        <v>7</v>
      </c>
      <c r="B7">
        <v>1184139.0918114141</v>
      </c>
      <c r="C7">
        <v>1123695.840363937</v>
      </c>
      <c r="D7">
        <f t="shared" si="0"/>
        <v>0</v>
      </c>
      <c r="E7">
        <v>1201560.015345268</v>
      </c>
      <c r="F7">
        <v>1066970.2848465471</v>
      </c>
      <c r="G7">
        <f t="shared" si="1"/>
        <v>1</v>
      </c>
      <c r="H7">
        <f>B7+F7</f>
        <v>2251109.3766579609</v>
      </c>
      <c r="I7">
        <f>C7+E7</f>
        <v>2325255.8557092049</v>
      </c>
    </row>
    <row r="8" spans="1:9" x14ac:dyDescent="0.35">
      <c r="A8" s="1" t="s">
        <v>8</v>
      </c>
      <c r="B8">
        <v>862592.94200000004</v>
      </c>
      <c r="C8">
        <v>986756.58</v>
      </c>
      <c r="D8">
        <f t="shared" si="0"/>
        <v>1</v>
      </c>
      <c r="E8">
        <v>1037887.886051081</v>
      </c>
      <c r="F8">
        <v>846595.99410609039</v>
      </c>
      <c r="G8">
        <f t="shared" si="1"/>
        <v>1</v>
      </c>
      <c r="H8">
        <f>B8+F8</f>
        <v>1709188.9361060904</v>
      </c>
      <c r="I8">
        <f>C8+E8</f>
        <v>2024644.466051081</v>
      </c>
    </row>
    <row r="9" spans="1:9" x14ac:dyDescent="0.35">
      <c r="A9" s="1" t="s">
        <v>9</v>
      </c>
      <c r="B9">
        <v>729418.06618705043</v>
      </c>
      <c r="C9">
        <v>1629158.776258993</v>
      </c>
      <c r="D9">
        <f t="shared" si="0"/>
        <v>1</v>
      </c>
      <c r="E9">
        <v>71834.5</v>
      </c>
      <c r="F9">
        <v>6348.6759179740784</v>
      </c>
      <c r="G9">
        <f t="shared" si="1"/>
        <v>1</v>
      </c>
      <c r="H9">
        <f>B9+F9</f>
        <v>735766.74210502452</v>
      </c>
      <c r="I9">
        <f>C9+E9</f>
        <v>1700993.276258993</v>
      </c>
    </row>
    <row r="10" spans="1:9" x14ac:dyDescent="0.35">
      <c r="A10" s="1" t="s">
        <v>10</v>
      </c>
      <c r="B10">
        <v>1124734.4589552239</v>
      </c>
      <c r="C10">
        <v>1189621.7633706471</v>
      </c>
      <c r="D10">
        <f t="shared" si="0"/>
        <v>1</v>
      </c>
      <c r="E10">
        <v>1310974.533252721</v>
      </c>
      <c r="F10">
        <v>1113732.455864571</v>
      </c>
      <c r="G10">
        <f t="shared" si="1"/>
        <v>1</v>
      </c>
      <c r="H10">
        <f>B10+F10</f>
        <v>2238466.9148197947</v>
      </c>
      <c r="I10">
        <f>C10+E10</f>
        <v>2500596.2966233678</v>
      </c>
    </row>
    <row r="11" spans="1:9" x14ac:dyDescent="0.35">
      <c r="A11" s="1" t="s">
        <v>11</v>
      </c>
      <c r="B11">
        <v>8063.4195402298847</v>
      </c>
      <c r="C11">
        <v>54941.595598223612</v>
      </c>
      <c r="D11">
        <f t="shared" si="0"/>
        <v>1</v>
      </c>
      <c r="E11">
        <v>252560.83173996181</v>
      </c>
      <c r="F11">
        <v>21120.847673677501</v>
      </c>
      <c r="G11">
        <f t="shared" si="1"/>
        <v>1</v>
      </c>
      <c r="H11">
        <f>B11+F11</f>
        <v>29184.267213907384</v>
      </c>
      <c r="I11">
        <f>C11+E11</f>
        <v>307502.42733818543</v>
      </c>
    </row>
    <row r="12" spans="1:9" x14ac:dyDescent="0.35">
      <c r="A12" s="1" t="s">
        <v>12</v>
      </c>
      <c r="B12">
        <v>205.48275862068971</v>
      </c>
      <c r="C12">
        <v>21488.295712576652</v>
      </c>
      <c r="D12">
        <f t="shared" si="0"/>
        <v>1</v>
      </c>
      <c r="E12">
        <v>1049857.5314900151</v>
      </c>
      <c r="F12">
        <v>3003.4989759344598</v>
      </c>
      <c r="G12">
        <f t="shared" si="1"/>
        <v>1</v>
      </c>
      <c r="H12">
        <f>B12+F12</f>
        <v>3208.9817345551496</v>
      </c>
      <c r="I12">
        <f>C12+E12</f>
        <v>1071345.8272025918</v>
      </c>
    </row>
    <row r="13" spans="1:9" x14ac:dyDescent="0.35">
      <c r="A13" s="1" t="s">
        <v>13</v>
      </c>
      <c r="B13">
        <v>905633.47509578546</v>
      </c>
      <c r="C13">
        <v>576214.83801617706</v>
      </c>
      <c r="D13">
        <f t="shared" si="0"/>
        <v>0</v>
      </c>
      <c r="E13">
        <v>592412.16145833326</v>
      </c>
      <c r="F13">
        <v>824043.11067708326</v>
      </c>
      <c r="G13">
        <f t="shared" si="1"/>
        <v>0</v>
      </c>
      <c r="H13">
        <f>B13+F13</f>
        <v>1729676.5857728687</v>
      </c>
      <c r="I13">
        <f>C13+E13</f>
        <v>1168626.9994745103</v>
      </c>
    </row>
    <row r="14" spans="1:9" x14ac:dyDescent="0.35">
      <c r="A14" s="1" t="s">
        <v>14</v>
      </c>
      <c r="B14">
        <v>71</v>
      </c>
      <c r="C14">
        <v>7974.4182812953168</v>
      </c>
      <c r="D14">
        <f t="shared" si="0"/>
        <v>1</v>
      </c>
      <c r="E14">
        <v>781404.51715039578</v>
      </c>
      <c r="F14">
        <v>2706.219217238347</v>
      </c>
      <c r="G14">
        <f t="shared" si="1"/>
        <v>1</v>
      </c>
      <c r="H14">
        <f>B14+F14</f>
        <v>2777.219217238347</v>
      </c>
      <c r="I14">
        <f>C14+E14</f>
        <v>789378.93543169112</v>
      </c>
    </row>
    <row r="15" spans="1:9" x14ac:dyDescent="0.35">
      <c r="A15" s="1" t="s">
        <v>15</v>
      </c>
      <c r="B15">
        <v>38447.061818181821</v>
      </c>
      <c r="C15">
        <v>499065.89937279921</v>
      </c>
      <c r="D15">
        <f t="shared" si="0"/>
        <v>1</v>
      </c>
      <c r="E15">
        <v>1149484.52195734</v>
      </c>
      <c r="F15">
        <v>76372.52070263488</v>
      </c>
      <c r="G15">
        <f t="shared" si="1"/>
        <v>1</v>
      </c>
      <c r="H15">
        <f>B15+F15</f>
        <v>114819.58252081671</v>
      </c>
      <c r="I15">
        <f>C15+E15</f>
        <v>1648550.421330139</v>
      </c>
    </row>
    <row r="16" spans="1:9" x14ac:dyDescent="0.35">
      <c r="A16" s="1" t="s">
        <v>16</v>
      </c>
      <c r="B16">
        <v>952290.10119047621</v>
      </c>
      <c r="C16">
        <v>873499.13697089953</v>
      </c>
      <c r="D16">
        <f t="shared" si="0"/>
        <v>0</v>
      </c>
      <c r="E16">
        <v>912325.70656370651</v>
      </c>
      <c r="F16">
        <v>994308.69208494213</v>
      </c>
      <c r="G16">
        <f t="shared" si="1"/>
        <v>0</v>
      </c>
      <c r="H16">
        <f>B16+F16</f>
        <v>1946598.7932754182</v>
      </c>
      <c r="I16">
        <f>C16+E16</f>
        <v>1785824.843534606</v>
      </c>
    </row>
    <row r="17" spans="1:9" x14ac:dyDescent="0.35">
      <c r="A17" s="1" t="s">
        <v>17</v>
      </c>
      <c r="B17">
        <v>189998.78400000001</v>
      </c>
      <c r="C17">
        <v>139421.2126740313</v>
      </c>
      <c r="D17">
        <f t="shared" si="0"/>
        <v>0</v>
      </c>
      <c r="E17">
        <v>470996.19661016949</v>
      </c>
      <c r="F17">
        <v>350494.91694915248</v>
      </c>
      <c r="G17">
        <f t="shared" si="1"/>
        <v>1</v>
      </c>
      <c r="H17">
        <f>B17+F17</f>
        <v>540493.70094915247</v>
      </c>
      <c r="I17">
        <f>C17+E17</f>
        <v>610417.40928420075</v>
      </c>
    </row>
    <row r="18" spans="1:9" x14ac:dyDescent="0.35">
      <c r="A18" s="1" t="s">
        <v>18</v>
      </c>
      <c r="B18">
        <v>830892.74206349207</v>
      </c>
      <c r="C18">
        <v>660436.90674603172</v>
      </c>
      <c r="D18">
        <f t="shared" si="0"/>
        <v>0</v>
      </c>
      <c r="E18">
        <v>679688.51411290327</v>
      </c>
      <c r="F18">
        <v>783499.83602150541</v>
      </c>
      <c r="G18">
        <f t="shared" si="1"/>
        <v>0</v>
      </c>
      <c r="H18">
        <f>B18+F18</f>
        <v>1614392.5780849974</v>
      </c>
      <c r="I18">
        <f>C18+E18</f>
        <v>1340125.420858935</v>
      </c>
    </row>
    <row r="19" spans="1:9" x14ac:dyDescent="0.35">
      <c r="A19" s="1" t="s">
        <v>19</v>
      </c>
      <c r="B19">
        <v>651164.24050632911</v>
      </c>
      <c r="C19">
        <v>1018593.043098252</v>
      </c>
      <c r="D19">
        <f t="shared" si="0"/>
        <v>1</v>
      </c>
      <c r="E19">
        <v>1155927.3088235289</v>
      </c>
      <c r="F19">
        <v>685314.2742374728</v>
      </c>
      <c r="G19">
        <f t="shared" si="1"/>
        <v>1</v>
      </c>
      <c r="H19">
        <f>B19+F19</f>
        <v>1336478.5147438019</v>
      </c>
      <c r="I19">
        <f>C19+E19</f>
        <v>2174520.351921781</v>
      </c>
    </row>
    <row r="20" spans="1:9" x14ac:dyDescent="0.35">
      <c r="A20" s="1" t="s">
        <v>20</v>
      </c>
      <c r="B20">
        <v>1257847.1966019419</v>
      </c>
      <c r="C20">
        <v>780740.62783171516</v>
      </c>
      <c r="D20">
        <f t="shared" si="0"/>
        <v>0</v>
      </c>
      <c r="E20">
        <v>805374.45849297568</v>
      </c>
      <c r="F20">
        <v>1136490.5753512131</v>
      </c>
      <c r="G20">
        <f t="shared" si="1"/>
        <v>0</v>
      </c>
      <c r="H20">
        <f>B20+F20</f>
        <v>2394337.7719531553</v>
      </c>
      <c r="I20">
        <f>C20+E20</f>
        <v>1586115.0863246908</v>
      </c>
    </row>
    <row r="21" spans="1:9" x14ac:dyDescent="0.35">
      <c r="A21" s="1" t="s">
        <v>21</v>
      </c>
      <c r="B21">
        <v>776421.0285132383</v>
      </c>
      <c r="C21">
        <v>847302.48981670057</v>
      </c>
      <c r="D21">
        <f t="shared" si="0"/>
        <v>1</v>
      </c>
      <c r="E21">
        <v>880437.26434426231</v>
      </c>
      <c r="F21">
        <v>768626.31967213121</v>
      </c>
      <c r="G21">
        <f t="shared" si="1"/>
        <v>1</v>
      </c>
      <c r="H21">
        <f>B21+F21</f>
        <v>1545047.3481853695</v>
      </c>
      <c r="I21">
        <f>C21+E21</f>
        <v>1727739.754160963</v>
      </c>
    </row>
    <row r="22" spans="1:9" x14ac:dyDescent="0.35">
      <c r="A22" s="1" t="s">
        <v>22</v>
      </c>
      <c r="B22">
        <v>533794.33935742965</v>
      </c>
      <c r="C22">
        <v>929839.81174698798</v>
      </c>
      <c r="D22">
        <f t="shared" si="0"/>
        <v>1</v>
      </c>
      <c r="E22">
        <v>960001.9765625</v>
      </c>
      <c r="F22">
        <v>531897.54264322924</v>
      </c>
      <c r="G22">
        <f t="shared" si="1"/>
        <v>1</v>
      </c>
      <c r="H22">
        <f>B22+F22</f>
        <v>1065691.8820006589</v>
      </c>
      <c r="I22">
        <f>C22+E22</f>
        <v>1889841.788309488</v>
      </c>
    </row>
    <row r="23" spans="1:9" x14ac:dyDescent="0.35">
      <c r="A23" s="1" t="s">
        <v>23</v>
      </c>
      <c r="B23">
        <v>52.068965517241381</v>
      </c>
      <c r="C23">
        <v>12856.54329615317</v>
      </c>
      <c r="D23">
        <f t="shared" si="0"/>
        <v>1</v>
      </c>
      <c r="E23">
        <v>223441.84511784511</v>
      </c>
      <c r="F23">
        <v>1338.515151515152</v>
      </c>
      <c r="G23">
        <f t="shared" si="1"/>
        <v>1</v>
      </c>
      <c r="H23">
        <f>B23+F23</f>
        <v>1390.5841170323934</v>
      </c>
      <c r="I23">
        <f>C23+E23</f>
        <v>236298.38841399827</v>
      </c>
    </row>
    <row r="24" spans="1:9" x14ac:dyDescent="0.35">
      <c r="A24" s="1" t="s">
        <v>24</v>
      </c>
      <c r="B24">
        <v>859935.2209072978</v>
      </c>
      <c r="C24">
        <v>869924.81065088755</v>
      </c>
      <c r="D24">
        <f t="shared" si="0"/>
        <v>1</v>
      </c>
      <c r="E24">
        <v>877674.98415841581</v>
      </c>
      <c r="F24">
        <v>830061.45181518153</v>
      </c>
      <c r="G24">
        <f t="shared" si="1"/>
        <v>1</v>
      </c>
      <c r="H24">
        <f>B24+F24</f>
        <v>1689996.6727224793</v>
      </c>
      <c r="I24">
        <f>C24+E24</f>
        <v>1747599.7948093032</v>
      </c>
    </row>
    <row r="25" spans="1:9" x14ac:dyDescent="0.35">
      <c r="A25" s="1" t="s">
        <v>25</v>
      </c>
      <c r="B25">
        <v>1251151.408977556</v>
      </c>
      <c r="C25">
        <v>1463881.885027016</v>
      </c>
      <c r="D25">
        <f t="shared" si="0"/>
        <v>1</v>
      </c>
      <c r="E25">
        <v>1599882.9786700129</v>
      </c>
      <c r="F25">
        <v>1139065.859263906</v>
      </c>
      <c r="G25">
        <f t="shared" si="1"/>
        <v>1</v>
      </c>
      <c r="H25">
        <f>B25+F25</f>
        <v>2390217.2682414623</v>
      </c>
      <c r="I25">
        <f>C25+E25</f>
        <v>3063764.8636970287</v>
      </c>
    </row>
    <row r="26" spans="1:9" x14ac:dyDescent="0.35">
      <c r="A26" s="1" t="s">
        <v>26</v>
      </c>
      <c r="B26">
        <v>32755.331999999999</v>
      </c>
      <c r="C26">
        <v>239866.52602222221</v>
      </c>
      <c r="D26">
        <f t="shared" si="0"/>
        <v>1</v>
      </c>
      <c r="E26">
        <v>893217.55862068967</v>
      </c>
      <c r="F26">
        <v>74816.850766283518</v>
      </c>
      <c r="G26">
        <f t="shared" si="1"/>
        <v>1</v>
      </c>
      <c r="H26">
        <f>B26+F26</f>
        <v>107572.18276628351</v>
      </c>
      <c r="I26">
        <f>C26+E26</f>
        <v>1133084.0846429118</v>
      </c>
    </row>
    <row r="27" spans="1:9" x14ac:dyDescent="0.35">
      <c r="A27" s="1" t="s">
        <v>27</v>
      </c>
      <c r="B27">
        <v>437673.09948542027</v>
      </c>
      <c r="C27">
        <v>762700.12035448826</v>
      </c>
      <c r="D27">
        <f t="shared" si="0"/>
        <v>1</v>
      </c>
      <c r="E27">
        <v>850031.26247987116</v>
      </c>
      <c r="F27">
        <v>474263.13607085339</v>
      </c>
      <c r="G27">
        <f t="shared" si="1"/>
        <v>1</v>
      </c>
      <c r="H27">
        <f>B27+F27</f>
        <v>911936.23555627372</v>
      </c>
      <c r="I27">
        <f>C27+E27</f>
        <v>1612731.3828343595</v>
      </c>
    </row>
    <row r="28" spans="1:9" x14ac:dyDescent="0.35">
      <c r="A28" s="1" t="s">
        <v>28</v>
      </c>
      <c r="B28">
        <v>727472.82199999993</v>
      </c>
      <c r="C28">
        <v>649466.49600000004</v>
      </c>
      <c r="D28">
        <f t="shared" si="0"/>
        <v>0</v>
      </c>
      <c r="E28">
        <v>668746.03406813624</v>
      </c>
      <c r="F28">
        <v>705342.92785571143</v>
      </c>
      <c r="G28">
        <f t="shared" si="1"/>
        <v>0</v>
      </c>
      <c r="H28">
        <f>B28+F28</f>
        <v>1432815.7498557114</v>
      </c>
      <c r="I28">
        <f>C28+E28</f>
        <v>1318212.5300681363</v>
      </c>
    </row>
    <row r="29" spans="1:9" x14ac:dyDescent="0.35">
      <c r="A29" s="1" t="s">
        <v>29</v>
      </c>
      <c r="B29">
        <v>1535516.0823529409</v>
      </c>
      <c r="C29">
        <v>1148706.0832352941</v>
      </c>
      <c r="D29">
        <f t="shared" si="0"/>
        <v>0</v>
      </c>
      <c r="E29">
        <v>1171712.639125152</v>
      </c>
      <c r="F29">
        <v>1437953.0490076949</v>
      </c>
      <c r="G29">
        <f t="shared" si="1"/>
        <v>0</v>
      </c>
      <c r="H29">
        <f>B29+F29</f>
        <v>2973469.1313606361</v>
      </c>
      <c r="I29">
        <f>C29+E29</f>
        <v>2320418.7223604461</v>
      </c>
    </row>
    <row r="30" spans="1:9" x14ac:dyDescent="0.35">
      <c r="A30" s="1" t="s">
        <v>30</v>
      </c>
      <c r="B30">
        <v>3028.6875</v>
      </c>
      <c r="C30">
        <v>80703.543832845404</v>
      </c>
      <c r="D30">
        <f t="shared" si="0"/>
        <v>1</v>
      </c>
      <c r="E30">
        <v>439362.40643863182</v>
      </c>
      <c r="F30">
        <v>10392.03353454058</v>
      </c>
      <c r="G30">
        <f t="shared" si="1"/>
        <v>1</v>
      </c>
      <c r="H30">
        <f>B30+F30</f>
        <v>13420.72103454058</v>
      </c>
      <c r="I30">
        <f>C30+E30</f>
        <v>520065.95027147722</v>
      </c>
    </row>
    <row r="31" spans="1:9" x14ac:dyDescent="0.35">
      <c r="A31" s="1" t="s">
        <v>31</v>
      </c>
      <c r="B31">
        <v>1057129.6938369779</v>
      </c>
      <c r="C31">
        <v>1204108.7756792579</v>
      </c>
      <c r="D31">
        <f t="shared" si="0"/>
        <v>1</v>
      </c>
      <c r="E31">
        <v>1268865.949416342</v>
      </c>
      <c r="F31">
        <v>1051092.3372243841</v>
      </c>
      <c r="G31">
        <f t="shared" si="1"/>
        <v>1</v>
      </c>
      <c r="H31">
        <f>B31+F31</f>
        <v>2108222.031061362</v>
      </c>
      <c r="I31">
        <f>C31+E31</f>
        <v>2472974.7250955999</v>
      </c>
    </row>
    <row r="32" spans="1:9" x14ac:dyDescent="0.35">
      <c r="A32" s="1" t="s">
        <v>32</v>
      </c>
      <c r="B32">
        <v>11393.825396825399</v>
      </c>
      <c r="C32">
        <v>169049.3677966742</v>
      </c>
      <c r="D32">
        <f t="shared" si="0"/>
        <v>1</v>
      </c>
      <c r="E32">
        <v>566045.23522458633</v>
      </c>
      <c r="F32">
        <v>54605.954294720257</v>
      </c>
      <c r="G32">
        <f t="shared" si="1"/>
        <v>1</v>
      </c>
      <c r="H32">
        <f>B32+F32</f>
        <v>65999.779691545657</v>
      </c>
      <c r="I32">
        <f>C32+E32</f>
        <v>735094.60302126058</v>
      </c>
    </row>
    <row r="33" spans="1:9" x14ac:dyDescent="0.35">
      <c r="A33" s="1" t="s">
        <v>33</v>
      </c>
      <c r="B33">
        <v>178164.53580901859</v>
      </c>
      <c r="C33">
        <v>195526.31893393959</v>
      </c>
      <c r="D33">
        <f t="shared" si="0"/>
        <v>1</v>
      </c>
      <c r="E33">
        <v>265159.18526315788</v>
      </c>
      <c r="F33">
        <v>185294.55298245611</v>
      </c>
      <c r="G33">
        <f t="shared" si="1"/>
        <v>1</v>
      </c>
      <c r="H33">
        <f>B33+F33</f>
        <v>363459.0887914747</v>
      </c>
      <c r="I33">
        <f>C33+E33</f>
        <v>460685.5041970975</v>
      </c>
    </row>
    <row r="34" spans="1:9" x14ac:dyDescent="0.35">
      <c r="A34" s="1" t="s">
        <v>34</v>
      </c>
      <c r="B34">
        <v>10017.21428571429</v>
      </c>
      <c r="C34">
        <v>25085.863878273642</v>
      </c>
      <c r="D34">
        <f t="shared" si="0"/>
        <v>1</v>
      </c>
      <c r="E34">
        <v>126645.61484098939</v>
      </c>
      <c r="F34">
        <v>19004.305653710249</v>
      </c>
      <c r="G34">
        <f t="shared" si="1"/>
        <v>1</v>
      </c>
      <c r="H34">
        <f>B34+F34</f>
        <v>29021.519939424539</v>
      </c>
      <c r="I34">
        <f>C34+E34</f>
        <v>151731.47871926305</v>
      </c>
    </row>
    <row r="35" spans="1:9" x14ac:dyDescent="0.35">
      <c r="A35" s="1" t="s">
        <v>35</v>
      </c>
      <c r="B35">
        <v>7564.546875</v>
      </c>
      <c r="C35">
        <v>328712.16397716868</v>
      </c>
      <c r="D35">
        <f t="shared" si="0"/>
        <v>1</v>
      </c>
      <c r="E35">
        <v>1092025.837795276</v>
      </c>
      <c r="F35">
        <v>26801.627852541162</v>
      </c>
      <c r="G35">
        <f t="shared" si="1"/>
        <v>1</v>
      </c>
      <c r="H35">
        <f>B35+F35</f>
        <v>34366.174727541162</v>
      </c>
      <c r="I35">
        <f>C35+E35</f>
        <v>1420738.0017724447</v>
      </c>
    </row>
    <row r="36" spans="1:9" x14ac:dyDescent="0.35">
      <c r="A36" s="1" t="s">
        <v>36</v>
      </c>
      <c r="B36">
        <v>11361.29801324503</v>
      </c>
      <c r="C36">
        <v>188173.82102920991</v>
      </c>
      <c r="D36">
        <f t="shared" si="0"/>
        <v>1</v>
      </c>
      <c r="E36">
        <v>929306.78455284552</v>
      </c>
      <c r="F36">
        <v>31634.99796747967</v>
      </c>
      <c r="G36">
        <f t="shared" si="1"/>
        <v>1</v>
      </c>
      <c r="H36">
        <f>B36+F36</f>
        <v>42996.295980724703</v>
      </c>
      <c r="I36">
        <f>C36+E36</f>
        <v>1117480.6055820554</v>
      </c>
    </row>
    <row r="37" spans="1:9" x14ac:dyDescent="0.35">
      <c r="A37" s="1" t="s">
        <v>37</v>
      </c>
      <c r="B37">
        <v>854604.76831683167</v>
      </c>
      <c r="C37">
        <v>1015033.931683168</v>
      </c>
      <c r="D37">
        <f t="shared" si="0"/>
        <v>1</v>
      </c>
      <c r="E37">
        <v>1095108.408644401</v>
      </c>
      <c r="F37">
        <v>846179.41944990179</v>
      </c>
      <c r="G37">
        <f t="shared" si="1"/>
        <v>1</v>
      </c>
      <c r="H37">
        <f>B37+F37</f>
        <v>1700784.1877667336</v>
      </c>
      <c r="I37">
        <f>C37+E37</f>
        <v>2110142.3403275693</v>
      </c>
    </row>
    <row r="38" spans="1:9" x14ac:dyDescent="0.35">
      <c r="A38" s="1" t="s">
        <v>38</v>
      </c>
      <c r="B38">
        <v>1191015.475095785</v>
      </c>
      <c r="C38">
        <v>1233168.5416134531</v>
      </c>
      <c r="D38">
        <f t="shared" si="0"/>
        <v>1</v>
      </c>
      <c r="E38">
        <v>1323515.2339901479</v>
      </c>
      <c r="F38">
        <v>1097168.47270115</v>
      </c>
      <c r="G38">
        <f t="shared" si="1"/>
        <v>1</v>
      </c>
      <c r="H38">
        <f>B38+F38</f>
        <v>2288183.9477969352</v>
      </c>
      <c r="I38">
        <f>C38+E38</f>
        <v>2556683.7756036008</v>
      </c>
    </row>
    <row r="39" spans="1:9" x14ac:dyDescent="0.35">
      <c r="A39" s="1" t="s">
        <v>39</v>
      </c>
      <c r="B39">
        <v>10228.89534883721</v>
      </c>
      <c r="C39">
        <v>195661.6246650634</v>
      </c>
      <c r="D39">
        <f t="shared" si="0"/>
        <v>1</v>
      </c>
      <c r="E39">
        <v>990004.98988195613</v>
      </c>
      <c r="F39">
        <v>36111.081933281261</v>
      </c>
      <c r="G39">
        <f t="shared" si="1"/>
        <v>1</v>
      </c>
      <c r="H39">
        <f>B39+F39</f>
        <v>46339.977282118474</v>
      </c>
      <c r="I39">
        <f>C39+E39</f>
        <v>1185666.6145470196</v>
      </c>
    </row>
    <row r="40" spans="1:9" x14ac:dyDescent="0.35">
      <c r="A40" s="1" t="s">
        <v>40</v>
      </c>
      <c r="B40">
        <v>523615.14856429462</v>
      </c>
      <c r="C40">
        <v>422887.70888472738</v>
      </c>
      <c r="D40">
        <f t="shared" si="0"/>
        <v>0</v>
      </c>
      <c r="E40">
        <v>439530.38224414311</v>
      </c>
      <c r="F40">
        <v>498903.41111796128</v>
      </c>
      <c r="G40">
        <f t="shared" si="1"/>
        <v>0</v>
      </c>
      <c r="H40">
        <f>B40+F40</f>
        <v>1022518.5596822558</v>
      </c>
      <c r="I40">
        <f>C40+E40</f>
        <v>862418.0911288705</v>
      </c>
    </row>
    <row r="41" spans="1:9" x14ac:dyDescent="0.35">
      <c r="A41" s="1" t="s">
        <v>41</v>
      </c>
      <c r="B41">
        <v>75213.140845070418</v>
      </c>
      <c r="C41">
        <v>189888.1878174482</v>
      </c>
      <c r="D41">
        <f t="shared" si="0"/>
        <v>1</v>
      </c>
      <c r="E41">
        <v>1057082.45210728</v>
      </c>
      <c r="F41">
        <v>177002.48371647511</v>
      </c>
      <c r="G41">
        <f t="shared" si="1"/>
        <v>1</v>
      </c>
      <c r="H41">
        <f>B41+F41</f>
        <v>252215.62456154553</v>
      </c>
      <c r="I41">
        <f>C41+E41</f>
        <v>1246970.6399247283</v>
      </c>
    </row>
    <row r="42" spans="1:9" x14ac:dyDescent="0.35">
      <c r="A42" s="1" t="s">
        <v>42</v>
      </c>
      <c r="B42">
        <v>1059225.239766082</v>
      </c>
      <c r="C42">
        <v>921410.0555555555</v>
      </c>
      <c r="D42">
        <f t="shared" si="0"/>
        <v>0</v>
      </c>
      <c r="E42">
        <v>916773.79125248501</v>
      </c>
      <c r="F42">
        <v>1038848.187210073</v>
      </c>
      <c r="G42">
        <f t="shared" si="1"/>
        <v>0</v>
      </c>
      <c r="H42">
        <f>B42+F42</f>
        <v>2098073.426976155</v>
      </c>
      <c r="I42">
        <f>C42+E42</f>
        <v>1838183.8468080405</v>
      </c>
    </row>
    <row r="43" spans="1:9" x14ac:dyDescent="0.35">
      <c r="A43" s="1" t="s">
        <v>43</v>
      </c>
      <c r="B43">
        <v>271.96666666666658</v>
      </c>
      <c r="C43">
        <v>23930.273361267951</v>
      </c>
      <c r="D43">
        <f t="shared" si="0"/>
        <v>1</v>
      </c>
      <c r="E43">
        <v>662593.75216138328</v>
      </c>
      <c r="F43">
        <v>5995.4040585975017</v>
      </c>
      <c r="G43">
        <f t="shared" si="1"/>
        <v>1</v>
      </c>
      <c r="H43">
        <f>B43+F43</f>
        <v>6267.370725264168</v>
      </c>
      <c r="I43">
        <f>C43+E43</f>
        <v>686524.02552265127</v>
      </c>
    </row>
    <row r="44" spans="1:9" x14ac:dyDescent="0.35">
      <c r="A44" s="1" t="s">
        <v>44</v>
      </c>
      <c r="B44">
        <v>736378.66205533594</v>
      </c>
      <c r="C44">
        <v>784296.64179841895</v>
      </c>
      <c r="D44">
        <f t="shared" si="0"/>
        <v>1</v>
      </c>
      <c r="E44">
        <v>790242.7191919192</v>
      </c>
      <c r="F44">
        <v>690906.86531986529</v>
      </c>
      <c r="G44">
        <f t="shared" si="1"/>
        <v>1</v>
      </c>
      <c r="H44">
        <f>B44+F44</f>
        <v>1427285.5273752012</v>
      </c>
      <c r="I44">
        <f>C44+E44</f>
        <v>1574539.360990338</v>
      </c>
    </row>
    <row r="45" spans="1:9" x14ac:dyDescent="0.35">
      <c r="A45" s="1" t="s">
        <v>45</v>
      </c>
      <c r="B45">
        <v>294.06666666666672</v>
      </c>
      <c r="C45">
        <v>16068.97594363596</v>
      </c>
      <c r="D45">
        <f t="shared" si="0"/>
        <v>1</v>
      </c>
      <c r="E45">
        <v>670484.83536585374</v>
      </c>
      <c r="F45">
        <v>2567.6504065040649</v>
      </c>
      <c r="G45">
        <f t="shared" si="1"/>
        <v>1</v>
      </c>
      <c r="H45">
        <f>B45+F45</f>
        <v>2861.7170731707315</v>
      </c>
      <c r="I45">
        <f>C45+E45</f>
        <v>686553.81130948965</v>
      </c>
    </row>
    <row r="46" spans="1:9" x14ac:dyDescent="0.35">
      <c r="A46" s="1" t="s">
        <v>46</v>
      </c>
      <c r="B46">
        <v>1015568.7816411681</v>
      </c>
      <c r="C46">
        <v>1144509.27909133</v>
      </c>
      <c r="D46">
        <f t="shared" si="0"/>
        <v>1</v>
      </c>
      <c r="E46">
        <v>1271474.99868421</v>
      </c>
      <c r="F46">
        <v>1000916.469736842</v>
      </c>
      <c r="G46">
        <f t="shared" si="1"/>
        <v>1</v>
      </c>
      <c r="H46">
        <f>B46+F46</f>
        <v>2016485.25137801</v>
      </c>
      <c r="I46">
        <f>C46+E46</f>
        <v>2415984.27777554</v>
      </c>
    </row>
    <row r="47" spans="1:9" x14ac:dyDescent="0.35">
      <c r="A47" s="1" t="s">
        <v>47</v>
      </c>
      <c r="B47">
        <v>439693.32862644421</v>
      </c>
      <c r="C47">
        <v>640311.68440308096</v>
      </c>
      <c r="D47">
        <f t="shared" si="0"/>
        <v>1</v>
      </c>
      <c r="E47">
        <v>720050.47127784288</v>
      </c>
      <c r="F47">
        <v>453783.35267682688</v>
      </c>
      <c r="G47">
        <f t="shared" si="1"/>
        <v>1</v>
      </c>
      <c r="H47">
        <f>B47+F47</f>
        <v>893476.68130327109</v>
      </c>
      <c r="I47">
        <f>C47+E47</f>
        <v>1360362.1556809237</v>
      </c>
    </row>
    <row r="48" spans="1:9" x14ac:dyDescent="0.35">
      <c r="A48" s="1" t="s">
        <v>48</v>
      </c>
      <c r="B48">
        <v>1055.03125</v>
      </c>
      <c r="C48">
        <v>42334.343361540297</v>
      </c>
      <c r="D48">
        <f t="shared" si="0"/>
        <v>1</v>
      </c>
      <c r="E48">
        <v>977921.24926686217</v>
      </c>
      <c r="F48">
        <v>9672.1678885630499</v>
      </c>
      <c r="G48">
        <f t="shared" si="1"/>
        <v>1</v>
      </c>
      <c r="H48">
        <f>B48+F48</f>
        <v>10727.19913856305</v>
      </c>
      <c r="I48">
        <f>C48+E48</f>
        <v>1020255.5926284025</v>
      </c>
    </row>
    <row r="49" spans="1:9" x14ac:dyDescent="0.35">
      <c r="A49" s="1" t="s">
        <v>49</v>
      </c>
      <c r="B49">
        <v>594898.04954954959</v>
      </c>
      <c r="C49">
        <v>306112.8429401624</v>
      </c>
      <c r="D49">
        <f t="shared" si="0"/>
        <v>0</v>
      </c>
      <c r="E49">
        <v>394056.09394572017</v>
      </c>
      <c r="F49">
        <v>530179.97498260275</v>
      </c>
      <c r="G49">
        <f t="shared" si="1"/>
        <v>0</v>
      </c>
      <c r="H49">
        <f>B49+F49</f>
        <v>1125078.0245321523</v>
      </c>
      <c r="I49">
        <f>C49+E49</f>
        <v>700168.93688588263</v>
      </c>
    </row>
    <row r="50" spans="1:9" x14ac:dyDescent="0.35">
      <c r="A50" s="1" t="s">
        <v>50</v>
      </c>
      <c r="B50">
        <v>40893.428571428572</v>
      </c>
      <c r="C50">
        <v>55881.703480058321</v>
      </c>
      <c r="D50">
        <f t="shared" si="0"/>
        <v>1</v>
      </c>
      <c r="E50">
        <v>850839.32397660823</v>
      </c>
      <c r="F50">
        <v>163892.99005847951</v>
      </c>
      <c r="G50">
        <f t="shared" si="1"/>
        <v>1</v>
      </c>
      <c r="H50">
        <f>B50+F50</f>
        <v>204786.41862990809</v>
      </c>
      <c r="I50">
        <f>C50+E50</f>
        <v>906721.02745666658</v>
      </c>
    </row>
    <row r="51" spans="1:9" x14ac:dyDescent="0.35">
      <c r="A51" s="1" t="s">
        <v>51</v>
      </c>
      <c r="B51">
        <v>340147.93650793651</v>
      </c>
      <c r="C51">
        <v>414402.31150793651</v>
      </c>
      <c r="D51">
        <f t="shared" si="0"/>
        <v>1</v>
      </c>
      <c r="E51">
        <v>409005.42430278892</v>
      </c>
      <c r="F51">
        <v>353864.03154050471</v>
      </c>
      <c r="G51">
        <f t="shared" si="1"/>
        <v>1</v>
      </c>
      <c r="H51">
        <f>B51+F51</f>
        <v>694011.96804844122</v>
      </c>
      <c r="I51">
        <f>C51+E51</f>
        <v>823407.73581072548</v>
      </c>
    </row>
    <row r="52" spans="1:9" x14ac:dyDescent="0.35">
      <c r="A52" s="1" t="s">
        <v>52</v>
      </c>
      <c r="B52">
        <v>626394.33794466406</v>
      </c>
      <c r="C52">
        <v>1032928.050889328</v>
      </c>
      <c r="D52">
        <f t="shared" si="0"/>
        <v>1</v>
      </c>
      <c r="E52">
        <v>1051826.9823874759</v>
      </c>
      <c r="F52">
        <v>633013.17155903461</v>
      </c>
      <c r="G52">
        <f t="shared" si="1"/>
        <v>1</v>
      </c>
      <c r="H52">
        <f>B52+F52</f>
        <v>1259407.5095036987</v>
      </c>
      <c r="I52">
        <f>C52+E52</f>
        <v>2084755.0332768038</v>
      </c>
    </row>
    <row r="53" spans="1:9" x14ac:dyDescent="0.35">
      <c r="A53" s="1" t="s">
        <v>53</v>
      </c>
      <c r="B53">
        <v>90462.967741935485</v>
      </c>
      <c r="C53">
        <v>107130.4145349415</v>
      </c>
      <c r="D53">
        <f t="shared" si="0"/>
        <v>1</v>
      </c>
      <c r="E53">
        <v>920723.67507418396</v>
      </c>
      <c r="F53">
        <v>398981.35089020769</v>
      </c>
      <c r="G53">
        <f t="shared" si="1"/>
        <v>1</v>
      </c>
      <c r="H53">
        <f>B53+F53</f>
        <v>489444.3186321432</v>
      </c>
      <c r="I53">
        <f>C53+E53</f>
        <v>1027854.0896091255</v>
      </c>
    </row>
    <row r="54" spans="1:9" x14ac:dyDescent="0.35">
      <c r="A54" s="1" t="s">
        <v>54</v>
      </c>
      <c r="B54">
        <v>933196.59073842305</v>
      </c>
      <c r="C54">
        <v>989986.32123487699</v>
      </c>
      <c r="D54">
        <f t="shared" si="0"/>
        <v>1</v>
      </c>
      <c r="E54">
        <v>1074022.153471376</v>
      </c>
      <c r="F54">
        <v>924002.19326025178</v>
      </c>
      <c r="G54">
        <f t="shared" si="1"/>
        <v>1</v>
      </c>
      <c r="H54">
        <f>B54+F54</f>
        <v>1857198.7839986747</v>
      </c>
      <c r="I54">
        <f>C54+E54</f>
        <v>2064008.474706253</v>
      </c>
    </row>
    <row r="55" spans="1:9" x14ac:dyDescent="0.35">
      <c r="A55" s="1" t="s">
        <v>55</v>
      </c>
      <c r="B55">
        <v>989710.62470588228</v>
      </c>
      <c r="C55">
        <v>899006.40137254901</v>
      </c>
      <c r="D55">
        <f t="shared" si="0"/>
        <v>0</v>
      </c>
      <c r="E55">
        <v>884533.44819277106</v>
      </c>
      <c r="F55">
        <v>942515.88393574301</v>
      </c>
      <c r="G55">
        <f t="shared" si="1"/>
        <v>0</v>
      </c>
      <c r="H55">
        <f>B55+F55</f>
        <v>1932226.5086416253</v>
      </c>
      <c r="I55">
        <f>C55+E55</f>
        <v>1783539.8495653202</v>
      </c>
    </row>
    <row r="56" spans="1:9" x14ac:dyDescent="0.35">
      <c r="A56" s="1" t="s">
        <v>56</v>
      </c>
      <c r="B56">
        <v>2332.8620689655172</v>
      </c>
      <c r="C56">
        <v>18627.152468236709</v>
      </c>
      <c r="D56">
        <f t="shared" si="0"/>
        <v>1</v>
      </c>
      <c r="E56">
        <v>62576.996627318716</v>
      </c>
      <c r="F56">
        <v>5686.1930860033726</v>
      </c>
      <c r="G56">
        <f t="shared" si="1"/>
        <v>1</v>
      </c>
      <c r="H56">
        <f>B56+F56</f>
        <v>8019.0551549688898</v>
      </c>
      <c r="I56">
        <f>C56+E56</f>
        <v>81204.149095555418</v>
      </c>
    </row>
    <row r="57" spans="1:9" x14ac:dyDescent="0.35">
      <c r="A57" s="1" t="s">
        <v>57</v>
      </c>
      <c r="B57">
        <v>1140368.2879684421</v>
      </c>
      <c r="C57">
        <v>527413.69329388556</v>
      </c>
      <c r="D57">
        <f t="shared" si="0"/>
        <v>0</v>
      </c>
      <c r="E57">
        <v>513102.51138716348</v>
      </c>
      <c r="F57">
        <v>1017747.907177364</v>
      </c>
      <c r="G57">
        <f t="shared" si="1"/>
        <v>0</v>
      </c>
      <c r="H57">
        <f>B57+F57</f>
        <v>2158116.1951458063</v>
      </c>
      <c r="I57">
        <f>C57+E57</f>
        <v>1040516.2046810491</v>
      </c>
    </row>
    <row r="58" spans="1:9" x14ac:dyDescent="0.35">
      <c r="A58" s="1" t="s">
        <v>58</v>
      </c>
      <c r="B58">
        <v>775368.9490835031</v>
      </c>
      <c r="C58">
        <v>701561.72878479306</v>
      </c>
      <c r="D58">
        <f t="shared" si="0"/>
        <v>0</v>
      </c>
      <c r="E58">
        <v>727038.58012170391</v>
      </c>
      <c r="F58">
        <v>750271.67072346178</v>
      </c>
      <c r="G58">
        <f t="shared" si="1"/>
        <v>0</v>
      </c>
      <c r="H58">
        <f>B58+F58</f>
        <v>1525640.6198069649</v>
      </c>
      <c r="I58">
        <f>C58+E58</f>
        <v>1428600.308906497</v>
      </c>
    </row>
    <row r="59" spans="1:9" x14ac:dyDescent="0.35">
      <c r="A59" s="1" t="s">
        <v>59</v>
      </c>
      <c r="B59">
        <v>751175.544921875</v>
      </c>
      <c r="C59">
        <v>786259.50944010424</v>
      </c>
      <c r="D59">
        <f t="shared" si="0"/>
        <v>1</v>
      </c>
      <c r="E59">
        <v>778071.09619238484</v>
      </c>
      <c r="F59">
        <v>722080.26953907812</v>
      </c>
      <c r="G59">
        <f t="shared" si="1"/>
        <v>1</v>
      </c>
      <c r="H59">
        <f>B59+F59</f>
        <v>1473255.8144609532</v>
      </c>
      <c r="I59">
        <f>C59+E59</f>
        <v>1564330.6056324891</v>
      </c>
    </row>
    <row r="60" spans="1:9" x14ac:dyDescent="0.35">
      <c r="A60" s="1" t="s">
        <v>60</v>
      </c>
      <c r="B60">
        <v>869227.49041713635</v>
      </c>
      <c r="C60">
        <v>114655.1168733559</v>
      </c>
      <c r="D60">
        <f t="shared" si="0"/>
        <v>0</v>
      </c>
      <c r="E60">
        <v>89376.926605504588</v>
      </c>
      <c r="F60">
        <v>292743.61174926622</v>
      </c>
      <c r="G60">
        <f t="shared" si="1"/>
        <v>0</v>
      </c>
      <c r="H60">
        <f>B60+F60</f>
        <v>1161971.1021664026</v>
      </c>
      <c r="I60">
        <f>C60+E60</f>
        <v>204032.04347886049</v>
      </c>
    </row>
    <row r="61" spans="1:9" x14ac:dyDescent="0.35">
      <c r="A61" s="1" t="s">
        <v>61</v>
      </c>
      <c r="B61">
        <v>603612.67244367418</v>
      </c>
      <c r="C61">
        <v>710001.50433275569</v>
      </c>
      <c r="D61">
        <f t="shared" si="0"/>
        <v>1</v>
      </c>
      <c r="E61">
        <v>742849.62195121951</v>
      </c>
      <c r="F61">
        <v>581254.51916376303</v>
      </c>
      <c r="G61">
        <f t="shared" si="1"/>
        <v>1</v>
      </c>
      <c r="H61">
        <f>B61+F61</f>
        <v>1184867.1916074371</v>
      </c>
      <c r="I61">
        <f>C61+E61</f>
        <v>1452851.1262839753</v>
      </c>
    </row>
    <row r="62" spans="1:9" x14ac:dyDescent="0.35">
      <c r="A62" s="1" t="s">
        <v>62</v>
      </c>
      <c r="B62">
        <v>430207.9308681672</v>
      </c>
      <c r="C62">
        <v>480144.83252947492</v>
      </c>
      <c r="D62">
        <f t="shared" si="0"/>
        <v>1</v>
      </c>
      <c r="E62">
        <v>495722.1093502377</v>
      </c>
      <c r="F62">
        <v>412170.94572107762</v>
      </c>
      <c r="G62">
        <f t="shared" si="1"/>
        <v>1</v>
      </c>
      <c r="H62">
        <f>B62+F62</f>
        <v>842378.87658924481</v>
      </c>
      <c r="I62">
        <f>C62+E62</f>
        <v>975866.94187971263</v>
      </c>
    </row>
    <row r="63" spans="1:9" x14ac:dyDescent="0.35">
      <c r="A63" s="1" t="s">
        <v>63</v>
      </c>
      <c r="B63">
        <v>1007044.62039312</v>
      </c>
      <c r="C63">
        <v>749155.37960687955</v>
      </c>
      <c r="D63">
        <f t="shared" si="0"/>
        <v>0</v>
      </c>
      <c r="E63">
        <v>776412.05562913907</v>
      </c>
      <c r="F63">
        <v>869892.02262693155</v>
      </c>
      <c r="G63">
        <f t="shared" si="1"/>
        <v>0</v>
      </c>
      <c r="H63">
        <f>B63+F63</f>
        <v>1876936.6430200515</v>
      </c>
      <c r="I63">
        <f>C63+E63</f>
        <v>1525567.4352360186</v>
      </c>
    </row>
    <row r="64" spans="1:9" x14ac:dyDescent="0.35">
      <c r="A64" s="1" t="s">
        <v>64</v>
      </c>
      <c r="B64">
        <v>120.5384615384615</v>
      </c>
      <c r="C64">
        <v>27656.09618542908</v>
      </c>
      <c r="D64">
        <f t="shared" si="0"/>
        <v>1</v>
      </c>
      <c r="E64">
        <v>2384049.3654891299</v>
      </c>
      <c r="F64">
        <v>3651.363224637681</v>
      </c>
      <c r="G64">
        <f t="shared" si="1"/>
        <v>1</v>
      </c>
      <c r="H64">
        <f>B64+F64</f>
        <v>3771.9016861761424</v>
      </c>
      <c r="I64">
        <f>C64+E64</f>
        <v>2411705.4616745589</v>
      </c>
    </row>
    <row r="65" spans="1:9" x14ac:dyDescent="0.35">
      <c r="A65" s="1" t="s">
        <v>65</v>
      </c>
      <c r="B65">
        <v>1437.037037037037</v>
      </c>
      <c r="C65">
        <v>34566.631977616242</v>
      </c>
      <c r="D65">
        <f t="shared" si="0"/>
        <v>1</v>
      </c>
      <c r="E65">
        <v>273940.96931407938</v>
      </c>
      <c r="F65">
        <v>3037.1741877256318</v>
      </c>
      <c r="G65">
        <f t="shared" si="1"/>
        <v>1</v>
      </c>
      <c r="H65">
        <f>B65+F65</f>
        <v>4474.2112247626683</v>
      </c>
      <c r="I65">
        <f>C65+E65</f>
        <v>308507.60129169561</v>
      </c>
    </row>
    <row r="66" spans="1:9" x14ac:dyDescent="0.35">
      <c r="A66" s="1" t="s">
        <v>66</v>
      </c>
      <c r="B66">
        <v>37527.350597609562</v>
      </c>
      <c r="C66">
        <v>271714.7114247196</v>
      </c>
      <c r="D66">
        <f t="shared" ref="D66:D101" si="2">IF(B66&lt;C66,1,0)</f>
        <v>1</v>
      </c>
      <c r="E66">
        <v>880971.51208285382</v>
      </c>
      <c r="F66">
        <v>65637.005753739926</v>
      </c>
      <c r="G66">
        <f t="shared" si="1"/>
        <v>1</v>
      </c>
      <c r="H66">
        <f>B66+F66</f>
        <v>103164.35635134949</v>
      </c>
      <c r="I66">
        <f>C66+E66</f>
        <v>1152686.2235075734</v>
      </c>
    </row>
    <row r="67" spans="1:9" x14ac:dyDescent="0.35">
      <c r="A67" s="1" t="s">
        <v>67</v>
      </c>
      <c r="B67">
        <v>909932.82311320747</v>
      </c>
      <c r="C67">
        <v>810063.42315251578</v>
      </c>
      <c r="D67">
        <f t="shared" si="2"/>
        <v>0</v>
      </c>
      <c r="E67">
        <v>765445.79537149821</v>
      </c>
      <c r="F67">
        <v>863678.97015834344</v>
      </c>
      <c r="G67">
        <f t="shared" ref="G67:G101" si="3">IF(E67&gt;F67,1,0)</f>
        <v>0</v>
      </c>
      <c r="H67">
        <f>B67+F67</f>
        <v>1773611.7932715509</v>
      </c>
      <c r="I67">
        <f>C67+E67</f>
        <v>1575509.2185240141</v>
      </c>
    </row>
    <row r="68" spans="1:9" x14ac:dyDescent="0.35">
      <c r="A68" s="1" t="s">
        <v>68</v>
      </c>
      <c r="B68">
        <v>737379.86481113313</v>
      </c>
      <c r="C68">
        <v>834820.40755467198</v>
      </c>
      <c r="D68">
        <f t="shared" si="2"/>
        <v>1</v>
      </c>
      <c r="E68">
        <v>858965.34122287971</v>
      </c>
      <c r="F68">
        <v>711040.87968441821</v>
      </c>
      <c r="G68">
        <f t="shared" si="3"/>
        <v>1</v>
      </c>
      <c r="H68">
        <f>B68+F68</f>
        <v>1448420.7444955513</v>
      </c>
      <c r="I68">
        <f>C68+E68</f>
        <v>1693785.7487775516</v>
      </c>
    </row>
    <row r="69" spans="1:9" x14ac:dyDescent="0.35">
      <c r="A69" s="1" t="s">
        <v>69</v>
      </c>
      <c r="B69">
        <v>1485937.550135501</v>
      </c>
      <c r="C69">
        <v>2532675.912827461</v>
      </c>
      <c r="D69">
        <f t="shared" si="2"/>
        <v>1</v>
      </c>
      <c r="E69">
        <v>2538370.8112175101</v>
      </c>
      <c r="F69">
        <v>1419666.9841541271</v>
      </c>
      <c r="G69">
        <f t="shared" si="3"/>
        <v>1</v>
      </c>
      <c r="H69">
        <f>B69+F69</f>
        <v>2905604.5342896283</v>
      </c>
      <c r="I69">
        <f>C69+E69</f>
        <v>5071046.7240449712</v>
      </c>
    </row>
    <row r="70" spans="1:9" x14ac:dyDescent="0.35">
      <c r="A70" s="1" t="s">
        <v>70</v>
      </c>
      <c r="B70">
        <v>636928.14499252615</v>
      </c>
      <c r="C70">
        <v>780327.92077727953</v>
      </c>
      <c r="D70">
        <f t="shared" si="2"/>
        <v>1</v>
      </c>
      <c r="E70">
        <v>26998.5</v>
      </c>
      <c r="F70">
        <v>13064.84412809194</v>
      </c>
      <c r="G70">
        <f t="shared" si="3"/>
        <v>1</v>
      </c>
      <c r="H70">
        <f>B70+F70</f>
        <v>649992.98912061809</v>
      </c>
      <c r="I70">
        <f>C70+E70</f>
        <v>807326.42077727953</v>
      </c>
    </row>
    <row r="71" spans="1:9" x14ac:dyDescent="0.35">
      <c r="A71" s="1" t="s">
        <v>71</v>
      </c>
      <c r="B71">
        <v>5392.3924050632913</v>
      </c>
      <c r="C71">
        <v>77236.149631784458</v>
      </c>
      <c r="D71">
        <f t="shared" si="2"/>
        <v>1</v>
      </c>
      <c r="E71">
        <v>183507.66626506031</v>
      </c>
      <c r="F71">
        <v>14502.12469879518</v>
      </c>
      <c r="G71">
        <f t="shared" si="3"/>
        <v>1</v>
      </c>
      <c r="H71">
        <f>B71+F71</f>
        <v>19894.51710385847</v>
      </c>
      <c r="I71">
        <f>C71+E71</f>
        <v>260743.81589684478</v>
      </c>
    </row>
    <row r="72" spans="1:9" x14ac:dyDescent="0.35">
      <c r="A72" s="1" t="s">
        <v>72</v>
      </c>
      <c r="B72">
        <v>26530.683417085431</v>
      </c>
      <c r="C72">
        <v>689415.46348830988</v>
      </c>
      <c r="D72">
        <f t="shared" si="2"/>
        <v>1</v>
      </c>
      <c r="E72">
        <v>1410798.0865671639</v>
      </c>
      <c r="F72">
        <v>40903.919900497509</v>
      </c>
      <c r="G72">
        <f t="shared" si="3"/>
        <v>1</v>
      </c>
      <c r="H72">
        <f>B72+F72</f>
        <v>67434.603317582936</v>
      </c>
      <c r="I72">
        <f>C72+E72</f>
        <v>2100213.550055474</v>
      </c>
    </row>
    <row r="73" spans="1:9" x14ac:dyDescent="0.35">
      <c r="A73" s="1" t="s">
        <v>73</v>
      </c>
      <c r="B73">
        <v>1217658.2901353971</v>
      </c>
      <c r="C73">
        <v>843453.3597678917</v>
      </c>
      <c r="D73">
        <f t="shared" si="2"/>
        <v>0</v>
      </c>
      <c r="E73">
        <v>810385.85089463228</v>
      </c>
      <c r="F73">
        <v>1145221.2620941021</v>
      </c>
      <c r="G73">
        <f t="shared" si="3"/>
        <v>0</v>
      </c>
      <c r="H73">
        <f>B73+F73</f>
        <v>2362879.5522294994</v>
      </c>
      <c r="I73">
        <f>C73+E73</f>
        <v>1653839.210662524</v>
      </c>
    </row>
    <row r="74" spans="1:9" x14ac:dyDescent="0.35">
      <c r="A74" s="1" t="s">
        <v>74</v>
      </c>
      <c r="B74">
        <v>1508849.436470588</v>
      </c>
      <c r="C74">
        <v>762790.3847058824</v>
      </c>
      <c r="D74">
        <f t="shared" si="2"/>
        <v>0</v>
      </c>
      <c r="E74">
        <v>737978.29773869342</v>
      </c>
      <c r="F74">
        <v>1358365.5304648241</v>
      </c>
      <c r="G74">
        <f t="shared" si="3"/>
        <v>0</v>
      </c>
      <c r="H74">
        <f>B74+F74</f>
        <v>2867214.966935412</v>
      </c>
      <c r="I74">
        <f>C74+E74</f>
        <v>1500768.6824445757</v>
      </c>
    </row>
    <row r="75" spans="1:9" x14ac:dyDescent="0.35">
      <c r="A75" s="1" t="s">
        <v>75</v>
      </c>
      <c r="B75">
        <v>694727.48588709673</v>
      </c>
      <c r="C75">
        <v>736171.51041666674</v>
      </c>
      <c r="D75">
        <f t="shared" si="2"/>
        <v>1</v>
      </c>
      <c r="E75">
        <v>768190.98795180721</v>
      </c>
      <c r="F75">
        <v>674334.73460508697</v>
      </c>
      <c r="G75">
        <f t="shared" si="3"/>
        <v>1</v>
      </c>
      <c r="H75">
        <f>B75+F75</f>
        <v>1369062.2204921837</v>
      </c>
      <c r="I75">
        <f>C75+E75</f>
        <v>1504362.498368474</v>
      </c>
    </row>
    <row r="76" spans="1:9" x14ac:dyDescent="0.35">
      <c r="A76" s="1" t="s">
        <v>76</v>
      </c>
      <c r="B76">
        <v>758934.89690721652</v>
      </c>
      <c r="C76">
        <v>623776.51804123714</v>
      </c>
      <c r="D76">
        <f t="shared" si="2"/>
        <v>0</v>
      </c>
      <c r="E76">
        <v>615505.59511343809</v>
      </c>
      <c r="F76">
        <v>749065.95433391514</v>
      </c>
      <c r="G76">
        <f t="shared" si="3"/>
        <v>0</v>
      </c>
      <c r="H76">
        <f>B76+F76</f>
        <v>1508000.8512411318</v>
      </c>
      <c r="I76">
        <f>C76+E76</f>
        <v>1239282.1131546753</v>
      </c>
    </row>
    <row r="77" spans="1:9" x14ac:dyDescent="0.35">
      <c r="A77" s="1" t="s">
        <v>77</v>
      </c>
      <c r="B77">
        <v>71.074074074074076</v>
      </c>
      <c r="C77">
        <v>17846.227419922499</v>
      </c>
      <c r="D77">
        <f t="shared" si="2"/>
        <v>1</v>
      </c>
      <c r="E77">
        <v>269223.5318860244</v>
      </c>
      <c r="F77">
        <v>1314.125282677521</v>
      </c>
      <c r="G77">
        <f t="shared" si="3"/>
        <v>1</v>
      </c>
      <c r="H77">
        <f>B77+F77</f>
        <v>1385.1993567515951</v>
      </c>
      <c r="I77">
        <f>C77+E77</f>
        <v>287069.75930594688</v>
      </c>
    </row>
    <row r="78" spans="1:9" x14ac:dyDescent="0.35">
      <c r="A78" s="1" t="s">
        <v>78</v>
      </c>
      <c r="B78">
        <v>521906.77102199232</v>
      </c>
      <c r="C78">
        <v>568734.63044415694</v>
      </c>
      <c r="D78">
        <f t="shared" si="2"/>
        <v>1</v>
      </c>
      <c r="E78">
        <v>577320.65590062109</v>
      </c>
      <c r="F78">
        <v>518265.92836438923</v>
      </c>
      <c r="G78">
        <f t="shared" si="3"/>
        <v>1</v>
      </c>
      <c r="H78">
        <f>B78+F78</f>
        <v>1040172.6993863815</v>
      </c>
      <c r="I78">
        <f>C78+E78</f>
        <v>1146055.286344778</v>
      </c>
    </row>
    <row r="79" spans="1:9" x14ac:dyDescent="0.35">
      <c r="A79" s="1" t="s">
        <v>79</v>
      </c>
      <c r="B79">
        <v>3302.1597222222222</v>
      </c>
      <c r="C79">
        <v>90015.249890241146</v>
      </c>
      <c r="D79">
        <f t="shared" si="2"/>
        <v>1</v>
      </c>
      <c r="E79">
        <v>324238.30245746701</v>
      </c>
      <c r="F79">
        <v>12925.36405166982</v>
      </c>
      <c r="G79">
        <f t="shared" si="3"/>
        <v>1</v>
      </c>
      <c r="H79">
        <f>B79+F79</f>
        <v>16227.523773892042</v>
      </c>
      <c r="I79">
        <f>C79+E79</f>
        <v>414253.55234770814</v>
      </c>
    </row>
    <row r="80" spans="1:9" x14ac:dyDescent="0.35">
      <c r="A80" s="1" t="s">
        <v>80</v>
      </c>
      <c r="B80">
        <v>135.5</v>
      </c>
      <c r="C80">
        <v>33097.235934081073</v>
      </c>
      <c r="D80">
        <f t="shared" si="2"/>
        <v>1</v>
      </c>
      <c r="E80">
        <v>30382.5</v>
      </c>
      <c r="F80">
        <v>28.207920069076781</v>
      </c>
      <c r="G80">
        <f t="shared" si="3"/>
        <v>1</v>
      </c>
      <c r="H80">
        <f>B80+F80</f>
        <v>163.70792006907678</v>
      </c>
      <c r="I80">
        <f>C80+E80</f>
        <v>63479.735934081073</v>
      </c>
    </row>
    <row r="81" spans="1:9" x14ac:dyDescent="0.35">
      <c r="A81" s="1" t="s">
        <v>81</v>
      </c>
      <c r="B81">
        <v>1760378.436470588</v>
      </c>
      <c r="C81">
        <v>1478326.859607843</v>
      </c>
      <c r="D81">
        <f t="shared" si="2"/>
        <v>0</v>
      </c>
      <c r="E81">
        <v>1498922.332935561</v>
      </c>
      <c r="F81">
        <v>1655492.506762132</v>
      </c>
      <c r="G81">
        <f t="shared" si="3"/>
        <v>0</v>
      </c>
      <c r="H81">
        <f>B81+F81</f>
        <v>3415870.9432327198</v>
      </c>
      <c r="I81">
        <f>C81+E81</f>
        <v>2977249.1925434042</v>
      </c>
    </row>
    <row r="82" spans="1:9" x14ac:dyDescent="0.35">
      <c r="A82" s="1" t="s">
        <v>82</v>
      </c>
      <c r="B82">
        <v>727176.49919484695</v>
      </c>
      <c r="C82">
        <v>479709.34648416529</v>
      </c>
      <c r="D82">
        <f t="shared" si="2"/>
        <v>0</v>
      </c>
      <c r="E82">
        <v>471662.68595041317</v>
      </c>
      <c r="F82">
        <v>699198.03030303027</v>
      </c>
      <c r="G82">
        <f t="shared" si="3"/>
        <v>0</v>
      </c>
      <c r="H82">
        <f>B82+F82</f>
        <v>1426374.5294978772</v>
      </c>
      <c r="I82">
        <f>C82+E82</f>
        <v>951372.03243457852</v>
      </c>
    </row>
    <row r="83" spans="1:9" x14ac:dyDescent="0.35">
      <c r="A83" s="1" t="s">
        <v>83</v>
      </c>
      <c r="B83">
        <v>315477.60186625202</v>
      </c>
      <c r="C83">
        <v>392119.21347848629</v>
      </c>
      <c r="D83">
        <f t="shared" si="2"/>
        <v>1</v>
      </c>
      <c r="E83">
        <v>427321.25710014952</v>
      </c>
      <c r="F83">
        <v>337486.98694569012</v>
      </c>
      <c r="G83">
        <f t="shared" si="3"/>
        <v>1</v>
      </c>
      <c r="H83">
        <f>B83+F83</f>
        <v>652964.58881194214</v>
      </c>
      <c r="I83">
        <f>C83+E83</f>
        <v>819440.47057863581</v>
      </c>
    </row>
    <row r="84" spans="1:9" x14ac:dyDescent="0.35">
      <c r="A84" s="1" t="s">
        <v>84</v>
      </c>
      <c r="B84">
        <v>1736307.563529412</v>
      </c>
      <c r="C84">
        <v>1161399.056078431</v>
      </c>
      <c r="D84">
        <f t="shared" si="2"/>
        <v>0</v>
      </c>
      <c r="E84">
        <v>1170693.015345268</v>
      </c>
      <c r="F84">
        <v>1582655.1583546461</v>
      </c>
      <c r="G84">
        <f t="shared" si="3"/>
        <v>0</v>
      </c>
      <c r="H84">
        <f>B84+F84</f>
        <v>3318962.7218840579</v>
      </c>
      <c r="I84">
        <f>C84+E84</f>
        <v>2332092.0714236991</v>
      </c>
    </row>
    <row r="85" spans="1:9" x14ac:dyDescent="0.35">
      <c r="A85" s="1" t="s">
        <v>85</v>
      </c>
      <c r="B85">
        <v>221.5588235294118</v>
      </c>
      <c r="C85">
        <v>15139.861496933179</v>
      </c>
      <c r="D85">
        <f t="shared" si="2"/>
        <v>1</v>
      </c>
      <c r="E85">
        <v>521810.42613636359</v>
      </c>
      <c r="F85">
        <v>2650.270833333333</v>
      </c>
      <c r="G85">
        <f t="shared" si="3"/>
        <v>1</v>
      </c>
      <c r="H85">
        <f>B85+F85</f>
        <v>2871.8296568627447</v>
      </c>
      <c r="I85">
        <f>C85+E85</f>
        <v>536950.2876332968</v>
      </c>
    </row>
    <row r="86" spans="1:9" x14ac:dyDescent="0.35">
      <c r="A86" s="1" t="s">
        <v>86</v>
      </c>
      <c r="B86">
        <v>950228.14512922463</v>
      </c>
      <c r="C86">
        <v>669408.11033797218</v>
      </c>
      <c r="D86">
        <f t="shared" si="2"/>
        <v>0</v>
      </c>
      <c r="E86">
        <v>684714.10756972106</v>
      </c>
      <c r="F86">
        <v>928238.80079681287</v>
      </c>
      <c r="G86">
        <f t="shared" si="3"/>
        <v>0</v>
      </c>
      <c r="H86">
        <f>B86+F86</f>
        <v>1878466.9459260376</v>
      </c>
      <c r="I86">
        <f>C86+E86</f>
        <v>1354122.2179076932</v>
      </c>
    </row>
    <row r="87" spans="1:9" x14ac:dyDescent="0.35">
      <c r="A87" s="1" t="s">
        <v>87</v>
      </c>
      <c r="B87">
        <v>798895.67871485942</v>
      </c>
      <c r="C87">
        <v>730697.03313253005</v>
      </c>
      <c r="D87">
        <f t="shared" si="2"/>
        <v>0</v>
      </c>
      <c r="E87">
        <v>735039.61368209263</v>
      </c>
      <c r="F87">
        <v>789092.15090543265</v>
      </c>
      <c r="G87">
        <f t="shared" si="3"/>
        <v>0</v>
      </c>
      <c r="H87">
        <f>B87+F87</f>
        <v>1587987.8296202919</v>
      </c>
      <c r="I87">
        <f>C87+E87</f>
        <v>1465736.6468146227</v>
      </c>
    </row>
    <row r="88" spans="1:9" x14ac:dyDescent="0.35">
      <c r="A88" s="1" t="s">
        <v>88</v>
      </c>
      <c r="B88">
        <v>13659.627659574469</v>
      </c>
      <c r="C88">
        <v>167617.28061497779</v>
      </c>
      <c r="D88">
        <f t="shared" si="2"/>
        <v>1</v>
      </c>
      <c r="E88">
        <v>1257165.3503937011</v>
      </c>
      <c r="F88">
        <v>47062.29050743657</v>
      </c>
      <c r="G88">
        <f t="shared" si="3"/>
        <v>1</v>
      </c>
      <c r="H88">
        <f>B88+F88</f>
        <v>60721.918167011041</v>
      </c>
      <c r="I88">
        <f>C88+E88</f>
        <v>1424782.6310086788</v>
      </c>
    </row>
    <row r="89" spans="1:9" x14ac:dyDescent="0.35">
      <c r="A89" s="1" t="s">
        <v>89</v>
      </c>
      <c r="B89">
        <v>7933.7319587628863</v>
      </c>
      <c r="C89">
        <v>188494.5287085161</v>
      </c>
      <c r="D89">
        <f t="shared" si="2"/>
        <v>1</v>
      </c>
      <c r="E89">
        <v>935228.82384341641</v>
      </c>
      <c r="F89">
        <v>23010.479096763262</v>
      </c>
      <c r="G89">
        <f t="shared" si="3"/>
        <v>1</v>
      </c>
      <c r="H89">
        <f>B89+F89</f>
        <v>30944.211055526146</v>
      </c>
      <c r="I89">
        <f>C89+E89</f>
        <v>1123723.3525519324</v>
      </c>
    </row>
    <row r="90" spans="1:9" x14ac:dyDescent="0.35">
      <c r="A90" s="1" t="s">
        <v>90</v>
      </c>
      <c r="B90">
        <v>13457.05069124424</v>
      </c>
      <c r="C90">
        <v>231984.45338224241</v>
      </c>
      <c r="D90">
        <f t="shared" si="2"/>
        <v>1</v>
      </c>
      <c r="E90">
        <v>1321406.200520833</v>
      </c>
      <c r="F90">
        <v>44798.927951388891</v>
      </c>
      <c r="G90">
        <f t="shared" si="3"/>
        <v>1</v>
      </c>
      <c r="H90">
        <f>B90+F90</f>
        <v>58255.978642633127</v>
      </c>
      <c r="I90">
        <f>C90+E90</f>
        <v>1553390.6539030755</v>
      </c>
    </row>
    <row r="91" spans="1:9" x14ac:dyDescent="0.35">
      <c r="A91" s="1" t="s">
        <v>91</v>
      </c>
      <c r="B91">
        <v>40.5</v>
      </c>
      <c r="C91">
        <v>3855.1658561031832</v>
      </c>
      <c r="D91">
        <f t="shared" si="2"/>
        <v>1</v>
      </c>
      <c r="E91">
        <v>391169.67220543808</v>
      </c>
      <c r="F91">
        <v>1561.481998992951</v>
      </c>
      <c r="G91">
        <f t="shared" si="3"/>
        <v>1</v>
      </c>
      <c r="H91">
        <f>B91+F91</f>
        <v>1601.981998992951</v>
      </c>
      <c r="I91">
        <f>C91+E91</f>
        <v>395024.83806154126</v>
      </c>
    </row>
    <row r="92" spans="1:9" x14ac:dyDescent="0.35">
      <c r="A92" s="1" t="s">
        <v>92</v>
      </c>
      <c r="B92">
        <v>3312.2549019607841</v>
      </c>
      <c r="C92">
        <v>92606.898793689965</v>
      </c>
      <c r="D92">
        <f t="shared" si="2"/>
        <v>1</v>
      </c>
      <c r="E92">
        <v>374658.7434944238</v>
      </c>
      <c r="F92">
        <v>8240.7211895910787</v>
      </c>
      <c r="G92">
        <f t="shared" si="3"/>
        <v>1</v>
      </c>
      <c r="H92">
        <f>B92+F92</f>
        <v>11552.976091551864</v>
      </c>
      <c r="I92">
        <f>C92+E92</f>
        <v>467265.64228811377</v>
      </c>
    </row>
    <row r="93" spans="1:9" x14ac:dyDescent="0.35">
      <c r="A93" s="1" t="s">
        <v>93</v>
      </c>
      <c r="B93">
        <v>456763.74418604648</v>
      </c>
      <c r="C93">
        <v>502160.56284606858</v>
      </c>
      <c r="D93">
        <f t="shared" si="2"/>
        <v>1</v>
      </c>
      <c r="E93">
        <v>519861.25162337662</v>
      </c>
      <c r="F93">
        <v>466045.38798701297</v>
      </c>
      <c r="G93">
        <f t="shared" si="3"/>
        <v>1</v>
      </c>
      <c r="H93">
        <f>B93+F93</f>
        <v>922809.13217305951</v>
      </c>
      <c r="I93">
        <f>C93+E93</f>
        <v>1022021.8144694453</v>
      </c>
    </row>
    <row r="94" spans="1:9" x14ac:dyDescent="0.35">
      <c r="A94" s="1" t="s">
        <v>94</v>
      </c>
      <c r="B94">
        <v>997355.2397660818</v>
      </c>
      <c r="C94">
        <v>834204.65984405461</v>
      </c>
      <c r="D94">
        <f t="shared" si="2"/>
        <v>0</v>
      </c>
      <c r="E94">
        <v>827139.11377245514</v>
      </c>
      <c r="F94">
        <v>965093.55289421161</v>
      </c>
      <c r="G94">
        <f t="shared" si="3"/>
        <v>0</v>
      </c>
      <c r="H94">
        <f>B94+F94</f>
        <v>1962448.7926602934</v>
      </c>
      <c r="I94">
        <f>C94+E94</f>
        <v>1661343.7736165097</v>
      </c>
    </row>
    <row r="95" spans="1:9" x14ac:dyDescent="0.35">
      <c r="A95" s="1" t="s">
        <v>95</v>
      </c>
      <c r="B95">
        <v>47799.891156462589</v>
      </c>
      <c r="C95">
        <v>325048.07182216918</v>
      </c>
      <c r="D95">
        <f t="shared" si="2"/>
        <v>1</v>
      </c>
      <c r="E95">
        <v>964203.64277035231</v>
      </c>
      <c r="F95">
        <v>86597.105913325227</v>
      </c>
      <c r="G95">
        <f t="shared" si="3"/>
        <v>1</v>
      </c>
      <c r="H95">
        <f>B95+F95</f>
        <v>134396.99706978782</v>
      </c>
      <c r="I95">
        <f>C95+E95</f>
        <v>1289251.7145925215</v>
      </c>
    </row>
    <row r="96" spans="1:9" x14ac:dyDescent="0.35">
      <c r="A96" s="1" t="s">
        <v>96</v>
      </c>
      <c r="B96">
        <v>804700.42105263157</v>
      </c>
      <c r="C96">
        <v>1192920.827935223</v>
      </c>
      <c r="D96">
        <f t="shared" si="2"/>
        <v>1</v>
      </c>
      <c r="E96">
        <v>1222926.861386138</v>
      </c>
      <c r="F96">
        <v>795611.6574257426</v>
      </c>
      <c r="G96">
        <f t="shared" si="3"/>
        <v>1</v>
      </c>
      <c r="H96">
        <f>B96+F96</f>
        <v>1600312.0784783741</v>
      </c>
      <c r="I96">
        <f>C96+E96</f>
        <v>2415847.689321361</v>
      </c>
    </row>
    <row r="97" spans="1:9" x14ac:dyDescent="0.35">
      <c r="A97" s="1" t="s">
        <v>97</v>
      </c>
      <c r="B97">
        <v>284273.14352574112</v>
      </c>
      <c r="C97">
        <v>1852624.359594384</v>
      </c>
      <c r="D97">
        <f t="shared" si="2"/>
        <v>1</v>
      </c>
      <c r="E97">
        <v>518330.53367875639</v>
      </c>
      <c r="F97">
        <v>258589.63212222091</v>
      </c>
      <c r="G97">
        <f t="shared" si="3"/>
        <v>1</v>
      </c>
      <c r="H97">
        <f>B97+F97</f>
        <v>542862.775647962</v>
      </c>
      <c r="I97">
        <f>C97+E97</f>
        <v>2370954.8932731403</v>
      </c>
    </row>
    <row r="98" spans="1:9" x14ac:dyDescent="0.35">
      <c r="A98" s="1" t="s">
        <v>98</v>
      </c>
      <c r="B98">
        <v>507263.02130325808</v>
      </c>
      <c r="C98">
        <v>588380.30764411029</v>
      </c>
      <c r="D98">
        <f t="shared" si="2"/>
        <v>1</v>
      </c>
      <c r="E98">
        <v>624431.16788321175</v>
      </c>
      <c r="F98">
        <v>515568.28710462293</v>
      </c>
      <c r="G98">
        <f t="shared" si="3"/>
        <v>1</v>
      </c>
      <c r="H98">
        <f>B98+F98</f>
        <v>1022831.3084078811</v>
      </c>
      <c r="I98">
        <f>C98+E98</f>
        <v>1212811.4755273219</v>
      </c>
    </row>
    <row r="99" spans="1:9" x14ac:dyDescent="0.35">
      <c r="A99" s="1" t="s">
        <v>99</v>
      </c>
      <c r="B99">
        <v>794433.3132911392</v>
      </c>
      <c r="C99">
        <v>1070053.2915348101</v>
      </c>
      <c r="D99">
        <f t="shared" si="2"/>
        <v>1</v>
      </c>
      <c r="E99">
        <v>1289172.0589928059</v>
      </c>
      <c r="F99">
        <v>772747.95695443649</v>
      </c>
      <c r="G99">
        <f t="shared" si="3"/>
        <v>1</v>
      </c>
      <c r="H99">
        <f>B99+F99</f>
        <v>1567181.2702455758</v>
      </c>
      <c r="I99">
        <f>C99+E99</f>
        <v>2359225.3505276162</v>
      </c>
    </row>
    <row r="100" spans="1:9" x14ac:dyDescent="0.35">
      <c r="A100" s="1" t="s">
        <v>100</v>
      </c>
      <c r="B100">
        <v>12337.75</v>
      </c>
      <c r="C100">
        <v>141188.57751484631</v>
      </c>
      <c r="D100">
        <f t="shared" si="2"/>
        <v>1</v>
      </c>
      <c r="E100">
        <v>1122185.4578947369</v>
      </c>
      <c r="F100">
        <v>38368.071710526317</v>
      </c>
      <c r="G100">
        <f t="shared" si="3"/>
        <v>1</v>
      </c>
      <c r="H100">
        <f>B100+F100</f>
        <v>50705.821710526317</v>
      </c>
      <c r="I100">
        <f>C100+E100</f>
        <v>1263374.0354095832</v>
      </c>
    </row>
    <row r="101" spans="1:9" ht="15" thickBot="1" x14ac:dyDescent="0.4">
      <c r="A101" s="1" t="s">
        <v>101</v>
      </c>
      <c r="B101">
        <v>247490</v>
      </c>
      <c r="C101">
        <v>309325.88011832017</v>
      </c>
      <c r="D101" s="2">
        <f t="shared" si="2"/>
        <v>1</v>
      </c>
      <c r="E101">
        <v>355202.73483535531</v>
      </c>
      <c r="F101">
        <v>262096.8388214905</v>
      </c>
      <c r="G101">
        <f t="shared" si="3"/>
        <v>1</v>
      </c>
      <c r="H101">
        <f>B101+F101</f>
        <v>509586.83882149053</v>
      </c>
      <c r="I101">
        <f>C101+E101</f>
        <v>664528.61495367554</v>
      </c>
    </row>
    <row r="102" spans="1:9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2025-05-13T03:31:23Z</dcterms:created>
  <dcterms:modified xsi:type="dcterms:W3CDTF">2025-05-20T13:52:44Z</dcterms:modified>
</cp:coreProperties>
</file>