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JJ\Data_bases\DB_tests\Cause_effect_pair\"/>
    </mc:Choice>
  </mc:AlternateContent>
  <xr:revisionPtr revIDLastSave="0" documentId="13_ncr:1_{2D3F9361-F92A-4C8C-9F4C-C23D4CF85819}" xr6:coauthVersionLast="47" xr6:coauthVersionMax="47" xr10:uidLastSave="{00000000-0000-0000-0000-000000000000}"/>
  <bookViews>
    <workbookView xWindow="850" yWindow="5460" windowWidth="3316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1" l="1"/>
  <c r="L101" i="1" s="1"/>
  <c r="J101" i="1"/>
  <c r="M101" i="1" s="1"/>
  <c r="K100" i="1"/>
  <c r="L100" i="1" s="1"/>
  <c r="J100" i="1"/>
  <c r="M100" i="1" s="1"/>
  <c r="K99" i="1"/>
  <c r="L99" i="1" s="1"/>
  <c r="J99" i="1"/>
  <c r="M99" i="1" s="1"/>
  <c r="K98" i="1"/>
  <c r="L98" i="1" s="1"/>
  <c r="J98" i="1"/>
  <c r="M98" i="1" s="1"/>
  <c r="K97" i="1"/>
  <c r="L97" i="1" s="1"/>
  <c r="J97" i="1"/>
  <c r="M97" i="1" s="1"/>
  <c r="K96" i="1"/>
  <c r="L96" i="1" s="1"/>
  <c r="J96" i="1"/>
  <c r="M96" i="1" s="1"/>
  <c r="K95" i="1"/>
  <c r="L95" i="1" s="1"/>
  <c r="J95" i="1"/>
  <c r="M95" i="1" s="1"/>
  <c r="K94" i="1"/>
  <c r="L94" i="1" s="1"/>
  <c r="J94" i="1"/>
  <c r="M94" i="1" s="1"/>
  <c r="K93" i="1"/>
  <c r="L93" i="1" s="1"/>
  <c r="J93" i="1"/>
  <c r="M93" i="1" s="1"/>
  <c r="K92" i="1"/>
  <c r="L92" i="1" s="1"/>
  <c r="J92" i="1"/>
  <c r="M92" i="1" s="1"/>
  <c r="K91" i="1"/>
  <c r="L91" i="1" s="1"/>
  <c r="J91" i="1"/>
  <c r="M91" i="1" s="1"/>
  <c r="K90" i="1"/>
  <c r="L90" i="1" s="1"/>
  <c r="J90" i="1"/>
  <c r="M90" i="1" s="1"/>
  <c r="K89" i="1"/>
  <c r="L89" i="1" s="1"/>
  <c r="J89" i="1"/>
  <c r="M89" i="1" s="1"/>
  <c r="K88" i="1"/>
  <c r="L88" i="1" s="1"/>
  <c r="J88" i="1"/>
  <c r="M88" i="1" s="1"/>
  <c r="K87" i="1"/>
  <c r="L87" i="1" s="1"/>
  <c r="J87" i="1"/>
  <c r="M87" i="1" s="1"/>
  <c r="K86" i="1"/>
  <c r="L86" i="1" s="1"/>
  <c r="J86" i="1"/>
  <c r="M86" i="1" s="1"/>
  <c r="K85" i="1"/>
  <c r="L85" i="1" s="1"/>
  <c r="J85" i="1"/>
  <c r="M85" i="1" s="1"/>
  <c r="K84" i="1"/>
  <c r="L84" i="1" s="1"/>
  <c r="J84" i="1"/>
  <c r="M84" i="1" s="1"/>
  <c r="K83" i="1"/>
  <c r="L83" i="1" s="1"/>
  <c r="J83" i="1"/>
  <c r="M83" i="1" s="1"/>
  <c r="K82" i="1"/>
  <c r="L82" i="1" s="1"/>
  <c r="J82" i="1"/>
  <c r="M82" i="1" s="1"/>
  <c r="K81" i="1"/>
  <c r="L81" i="1" s="1"/>
  <c r="J81" i="1"/>
  <c r="M81" i="1" s="1"/>
  <c r="K80" i="1"/>
  <c r="L80" i="1" s="1"/>
  <c r="J80" i="1"/>
  <c r="M80" i="1" s="1"/>
  <c r="K79" i="1"/>
  <c r="L79" i="1" s="1"/>
  <c r="J79" i="1"/>
  <c r="M79" i="1" s="1"/>
  <c r="K78" i="1"/>
  <c r="L78" i="1" s="1"/>
  <c r="J78" i="1"/>
  <c r="M78" i="1" s="1"/>
  <c r="K77" i="1"/>
  <c r="L77" i="1" s="1"/>
  <c r="J77" i="1"/>
  <c r="M77" i="1" s="1"/>
  <c r="K76" i="1"/>
  <c r="L76" i="1" s="1"/>
  <c r="J76" i="1"/>
  <c r="M76" i="1" s="1"/>
  <c r="K75" i="1"/>
  <c r="L75" i="1" s="1"/>
  <c r="J75" i="1"/>
  <c r="M75" i="1" s="1"/>
  <c r="K74" i="1"/>
  <c r="L74" i="1" s="1"/>
  <c r="J74" i="1"/>
  <c r="M74" i="1" s="1"/>
  <c r="K73" i="1"/>
  <c r="L73" i="1" s="1"/>
  <c r="J73" i="1"/>
  <c r="M73" i="1" s="1"/>
  <c r="K72" i="1"/>
  <c r="L72" i="1" s="1"/>
  <c r="J72" i="1"/>
  <c r="M72" i="1" s="1"/>
  <c r="K71" i="1"/>
  <c r="L71" i="1" s="1"/>
  <c r="J71" i="1"/>
  <c r="M71" i="1" s="1"/>
  <c r="K70" i="1"/>
  <c r="L70" i="1" s="1"/>
  <c r="J70" i="1"/>
  <c r="M70" i="1" s="1"/>
  <c r="K69" i="1"/>
  <c r="L69" i="1" s="1"/>
  <c r="J69" i="1"/>
  <c r="M69" i="1" s="1"/>
  <c r="K68" i="1"/>
  <c r="L68" i="1" s="1"/>
  <c r="J68" i="1"/>
  <c r="M68" i="1" s="1"/>
  <c r="K67" i="1"/>
  <c r="L67" i="1" s="1"/>
  <c r="J67" i="1"/>
  <c r="M67" i="1" s="1"/>
  <c r="K66" i="1"/>
  <c r="L66" i="1" s="1"/>
  <c r="J66" i="1"/>
  <c r="M66" i="1" s="1"/>
  <c r="M65" i="1"/>
  <c r="K65" i="1"/>
  <c r="L65" i="1" s="1"/>
  <c r="J65" i="1"/>
  <c r="K64" i="1"/>
  <c r="L64" i="1" s="1"/>
  <c r="J64" i="1"/>
  <c r="M64" i="1" s="1"/>
  <c r="K63" i="1"/>
  <c r="L63" i="1" s="1"/>
  <c r="J63" i="1"/>
  <c r="M63" i="1" s="1"/>
  <c r="K62" i="1"/>
  <c r="L62" i="1" s="1"/>
  <c r="J62" i="1"/>
  <c r="M62" i="1" s="1"/>
  <c r="M61" i="1"/>
  <c r="K61" i="1"/>
  <c r="L61" i="1" s="1"/>
  <c r="J61" i="1"/>
  <c r="K60" i="1"/>
  <c r="L60" i="1" s="1"/>
  <c r="J60" i="1"/>
  <c r="M60" i="1" s="1"/>
  <c r="K59" i="1"/>
  <c r="L59" i="1" s="1"/>
  <c r="J59" i="1"/>
  <c r="M59" i="1" s="1"/>
  <c r="K58" i="1"/>
  <c r="L58" i="1" s="1"/>
  <c r="J58" i="1"/>
  <c r="M58" i="1" s="1"/>
  <c r="K57" i="1"/>
  <c r="L57" i="1" s="1"/>
  <c r="J57" i="1"/>
  <c r="M57" i="1" s="1"/>
  <c r="K56" i="1"/>
  <c r="L56" i="1" s="1"/>
  <c r="J56" i="1"/>
  <c r="M56" i="1" s="1"/>
  <c r="K55" i="1"/>
  <c r="L55" i="1" s="1"/>
  <c r="J55" i="1"/>
  <c r="M55" i="1" s="1"/>
  <c r="K54" i="1"/>
  <c r="L54" i="1" s="1"/>
  <c r="J54" i="1"/>
  <c r="M54" i="1" s="1"/>
  <c r="M53" i="1"/>
  <c r="K53" i="1"/>
  <c r="L53" i="1" s="1"/>
  <c r="J53" i="1"/>
  <c r="K52" i="1"/>
  <c r="L52" i="1" s="1"/>
  <c r="J52" i="1"/>
  <c r="M52" i="1" s="1"/>
  <c r="K51" i="1"/>
  <c r="L51" i="1" s="1"/>
  <c r="J51" i="1"/>
  <c r="M51" i="1" s="1"/>
  <c r="K50" i="1"/>
  <c r="L50" i="1" s="1"/>
  <c r="J50" i="1"/>
  <c r="M50" i="1" s="1"/>
  <c r="K49" i="1"/>
  <c r="L49" i="1" s="1"/>
  <c r="J49" i="1"/>
  <c r="M49" i="1" s="1"/>
  <c r="K48" i="1"/>
  <c r="L48" i="1" s="1"/>
  <c r="J48" i="1"/>
  <c r="M48" i="1" s="1"/>
  <c r="K47" i="1"/>
  <c r="L47" i="1" s="1"/>
  <c r="J47" i="1"/>
  <c r="M47" i="1" s="1"/>
  <c r="K46" i="1"/>
  <c r="L46" i="1" s="1"/>
  <c r="J46" i="1"/>
  <c r="M46" i="1" s="1"/>
  <c r="M45" i="1"/>
  <c r="K45" i="1"/>
  <c r="L45" i="1" s="1"/>
  <c r="J45" i="1"/>
  <c r="K44" i="1"/>
  <c r="L44" i="1" s="1"/>
  <c r="J44" i="1"/>
  <c r="M44" i="1" s="1"/>
  <c r="K43" i="1"/>
  <c r="L43" i="1" s="1"/>
  <c r="J43" i="1"/>
  <c r="M43" i="1" s="1"/>
  <c r="K42" i="1"/>
  <c r="L42" i="1" s="1"/>
  <c r="J42" i="1"/>
  <c r="M42" i="1" s="1"/>
  <c r="K41" i="1"/>
  <c r="L41" i="1" s="1"/>
  <c r="J41" i="1"/>
  <c r="M41" i="1" s="1"/>
  <c r="K40" i="1"/>
  <c r="L40" i="1" s="1"/>
  <c r="J40" i="1"/>
  <c r="M40" i="1" s="1"/>
  <c r="K39" i="1"/>
  <c r="L39" i="1" s="1"/>
  <c r="J39" i="1"/>
  <c r="M39" i="1" s="1"/>
  <c r="K38" i="1"/>
  <c r="L38" i="1" s="1"/>
  <c r="J38" i="1"/>
  <c r="M38" i="1" s="1"/>
  <c r="M37" i="1"/>
  <c r="K37" i="1"/>
  <c r="L37" i="1" s="1"/>
  <c r="J37" i="1"/>
  <c r="K36" i="1"/>
  <c r="L36" i="1" s="1"/>
  <c r="J36" i="1"/>
  <c r="M36" i="1" s="1"/>
  <c r="K35" i="1"/>
  <c r="L35" i="1" s="1"/>
  <c r="J35" i="1"/>
  <c r="M35" i="1" s="1"/>
  <c r="K34" i="1"/>
  <c r="L34" i="1" s="1"/>
  <c r="J34" i="1"/>
  <c r="M34" i="1" s="1"/>
  <c r="K33" i="1"/>
  <c r="L33" i="1" s="1"/>
  <c r="J33" i="1"/>
  <c r="M33" i="1" s="1"/>
  <c r="K32" i="1"/>
  <c r="L32" i="1" s="1"/>
  <c r="J32" i="1"/>
  <c r="M32" i="1" s="1"/>
  <c r="K31" i="1"/>
  <c r="L31" i="1" s="1"/>
  <c r="J31" i="1"/>
  <c r="M31" i="1" s="1"/>
  <c r="K30" i="1"/>
  <c r="L30" i="1" s="1"/>
  <c r="J30" i="1"/>
  <c r="M30" i="1" s="1"/>
  <c r="M29" i="1"/>
  <c r="K29" i="1"/>
  <c r="L29" i="1" s="1"/>
  <c r="J29" i="1"/>
  <c r="K28" i="1"/>
  <c r="L28" i="1" s="1"/>
  <c r="J28" i="1"/>
  <c r="M28" i="1" s="1"/>
  <c r="K27" i="1"/>
  <c r="L27" i="1" s="1"/>
  <c r="J27" i="1"/>
  <c r="M27" i="1" s="1"/>
  <c r="K26" i="1"/>
  <c r="L26" i="1" s="1"/>
  <c r="J26" i="1"/>
  <c r="M26" i="1" s="1"/>
  <c r="K25" i="1"/>
  <c r="L25" i="1" s="1"/>
  <c r="J25" i="1"/>
  <c r="M25" i="1" s="1"/>
  <c r="K24" i="1"/>
  <c r="L24" i="1" s="1"/>
  <c r="J24" i="1"/>
  <c r="M24" i="1" s="1"/>
  <c r="K23" i="1"/>
  <c r="L23" i="1" s="1"/>
  <c r="J23" i="1"/>
  <c r="M23" i="1" s="1"/>
  <c r="K22" i="1"/>
  <c r="L22" i="1" s="1"/>
  <c r="J22" i="1"/>
  <c r="M22" i="1" s="1"/>
  <c r="M21" i="1"/>
  <c r="K21" i="1"/>
  <c r="L21" i="1" s="1"/>
  <c r="J21" i="1"/>
  <c r="K20" i="1"/>
  <c r="L20" i="1" s="1"/>
  <c r="J20" i="1"/>
  <c r="M20" i="1" s="1"/>
  <c r="K19" i="1"/>
  <c r="L19" i="1" s="1"/>
  <c r="J19" i="1"/>
  <c r="M19" i="1" s="1"/>
  <c r="K18" i="1"/>
  <c r="L18" i="1" s="1"/>
  <c r="J18" i="1"/>
  <c r="M18" i="1" s="1"/>
  <c r="K17" i="1"/>
  <c r="L17" i="1" s="1"/>
  <c r="J17" i="1"/>
  <c r="M17" i="1" s="1"/>
  <c r="K16" i="1"/>
  <c r="L16" i="1" s="1"/>
  <c r="J16" i="1"/>
  <c r="M16" i="1" s="1"/>
  <c r="K15" i="1"/>
  <c r="L15" i="1" s="1"/>
  <c r="J15" i="1"/>
  <c r="M15" i="1" s="1"/>
  <c r="K14" i="1"/>
  <c r="L14" i="1" s="1"/>
  <c r="J14" i="1"/>
  <c r="M14" i="1" s="1"/>
  <c r="M13" i="1"/>
  <c r="K13" i="1"/>
  <c r="L13" i="1" s="1"/>
  <c r="J13" i="1"/>
  <c r="K12" i="1"/>
  <c r="L12" i="1" s="1"/>
  <c r="J12" i="1"/>
  <c r="M12" i="1" s="1"/>
  <c r="K11" i="1"/>
  <c r="L11" i="1" s="1"/>
  <c r="J11" i="1"/>
  <c r="M11" i="1" s="1"/>
  <c r="K10" i="1"/>
  <c r="L10" i="1" s="1"/>
  <c r="J10" i="1"/>
  <c r="M10" i="1" s="1"/>
  <c r="K9" i="1"/>
  <c r="L9" i="1" s="1"/>
  <c r="J9" i="1"/>
  <c r="M9" i="1" s="1"/>
  <c r="K8" i="1"/>
  <c r="L8" i="1" s="1"/>
  <c r="J8" i="1"/>
  <c r="M8" i="1" s="1"/>
  <c r="K7" i="1"/>
  <c r="L7" i="1" s="1"/>
  <c r="J7" i="1"/>
  <c r="M7" i="1" s="1"/>
  <c r="K6" i="1"/>
  <c r="L6" i="1" s="1"/>
  <c r="J6" i="1"/>
  <c r="M6" i="1" s="1"/>
  <c r="M5" i="1"/>
  <c r="K5" i="1"/>
  <c r="L5" i="1" s="1"/>
  <c r="J5" i="1"/>
  <c r="K4" i="1"/>
  <c r="L4" i="1" s="1"/>
  <c r="J4" i="1"/>
  <c r="M4" i="1" s="1"/>
  <c r="K3" i="1"/>
  <c r="L3" i="1" s="1"/>
  <c r="J3" i="1"/>
  <c r="M3" i="1" s="1"/>
  <c r="K2" i="1"/>
  <c r="L2" i="1" s="1"/>
  <c r="J2" i="1"/>
  <c r="M2" i="1" s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1" i="1" s="1"/>
  <c r="I5" i="1"/>
  <c r="I4" i="1"/>
  <c r="I3" i="1"/>
  <c r="I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1" i="1" s="1"/>
  <c r="E5" i="1"/>
  <c r="E4" i="1"/>
  <c r="E3" i="1"/>
  <c r="E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1" i="1" s="1"/>
  <c r="H5" i="1"/>
  <c r="H4" i="1"/>
  <c r="H3" i="1"/>
  <c r="H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L1" i="1" l="1"/>
  <c r="M1" i="1"/>
  <c r="D1" i="1"/>
</calcChain>
</file>

<file path=xl/sharedStrings.xml><?xml version="1.0" encoding="utf-8"?>
<sst xmlns="http://schemas.openxmlformats.org/spreadsheetml/2006/main" count="106" uniqueCount="104">
  <si>
    <t>Path(['drop_duplicates_mean', 'to_DPLS_pred']A)</t>
  </si>
  <si>
    <t>Path(['drop_duplicates_mean', 'to_DPLS_pred']B)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</si>
  <si>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</si>
  <si>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</si>
  <si>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</si>
  <si>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</si>
  <si>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</si>
  <si>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</si>
  <si>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</si>
  <si>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</si>
  <si>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</si>
  <si>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</si>
  <si>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</si>
  <si>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</si>
  <si>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</si>
  <si>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</si>
  <si>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</si>
  <si>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</si>
  <si>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</si>
  <si>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</si>
  <si>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</si>
  <si>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</si>
  <si>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</si>
  <si>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</si>
  <si>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</si>
  <si>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</si>
  <si>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</si>
  <si>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</si>
  <si>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</si>
  <si>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</si>
  <si>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</si>
  <si>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</si>
  <si>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</si>
  <si>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</si>
  <si>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</si>
  <si>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</si>
  <si>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</si>
  <si>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</si>
  <si>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</si>
  <si>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</si>
  <si>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</si>
  <si>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</si>
  <si>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</si>
  <si>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</si>
  <si>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</si>
  <si>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</si>
  <si>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</si>
  <si>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</si>
  <si>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</si>
  <si>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</si>
  <si>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</si>
  <si>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</si>
  <si>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</si>
  <si>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</si>
  <si>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</si>
  <si>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</si>
  <si>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</si>
  <si>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</si>
  <si>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</si>
  <si>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</si>
  <si>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</si>
  <si>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</si>
  <si>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</si>
  <si>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</si>
  <si>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</si>
  <si>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</si>
  <si>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</si>
  <si>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</si>
  <si>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</si>
  <si>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</si>
  <si>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</si>
  <si>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</si>
  <si>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</si>
  <si>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</si>
  <si>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</si>
  <si>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</si>
  <si>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</si>
  <si>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</si>
  <si>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</si>
  <si>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</si>
  <si>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</si>
  <si>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</si>
  <si>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</si>
  <si>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</si>
  <si>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</si>
  <si>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</si>
  <si>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</si>
  <si>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</si>
  <si>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</si>
  <si>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</si>
  <si>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</si>
  <si>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</si>
  <si>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</si>
  <si>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</si>
  <si>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</si>
  <si>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</si>
  <si>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</si>
  <si>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</si>
  <si>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</si>
  <si>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</si>
  <si>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</si>
  <si>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</si>
  <si>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Path(drop_duplicates_meanB)</t>
  </si>
  <si>
    <t>Path(drop_duplicates_meanA)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</si>
</sst>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zoomScale="85" zoomScaleNormal="85" workbookViewId="0">
      <selection activeCell="G18" sqref="G18"/>
    </sheetView>
  </sheetViews>
  <sheetFormatPr defaultRowHeight="14.5" x14ac:dyDescent="0.35"/>
  <cols>
    <col min="1" max="1" width="8.81640625" bestFit="1" customWidth="1"/>
    <col min="2" max="2" width="43.08984375" bestFit="1" customWidth="1"/>
    <col min="3" max="3" width="43" bestFit="1" customWidth="1"/>
    <col min="4" max="5" width="26.7265625" customWidth="1"/>
    <col min="6" max="6" width="43" bestFit="1" customWidth="1"/>
    <col min="7" max="7" width="43.08984375" bestFit="1" customWidth="1"/>
    <col min="8" max="9" width="26.7265625" customWidth="1"/>
    <col min="10" max="10" width="26.7265625" bestFit="1" customWidth="1"/>
    <col min="11" max="11" width="26.81640625" bestFit="1" customWidth="1"/>
  </cols>
  <sheetData>
    <row r="1" spans="1:13" x14ac:dyDescent="0.35">
      <c r="B1" s="1" t="s">
        <v>0</v>
      </c>
      <c r="C1" s="1" t="s">
        <v>1</v>
      </c>
      <c r="D1">
        <f>SUM(D2:D101)</f>
        <v>44</v>
      </c>
      <c r="E1">
        <f>SUM(E2:E101)</f>
        <v>550.00063905128059</v>
      </c>
      <c r="F1" s="1" t="s">
        <v>1</v>
      </c>
      <c r="G1" s="1" t="s">
        <v>0</v>
      </c>
      <c r="H1">
        <f>SUM(H2:H101)</f>
        <v>59</v>
      </c>
      <c r="I1">
        <f>SUM(I2:I101)</f>
        <v>684.58403106269225</v>
      </c>
      <c r="J1" s="1" t="s">
        <v>102</v>
      </c>
      <c r="K1" s="1" t="s">
        <v>103</v>
      </c>
      <c r="L1">
        <f>SUM(L2:L101)</f>
        <v>14</v>
      </c>
      <c r="M1">
        <f>SUM(M2:M101)</f>
        <v>13</v>
      </c>
    </row>
    <row r="2" spans="1:13" x14ac:dyDescent="0.35">
      <c r="A2" s="1" t="s">
        <v>2</v>
      </c>
      <c r="B2">
        <v>109.9164157711069</v>
      </c>
      <c r="C2">
        <v>47.358610206109958</v>
      </c>
      <c r="D2">
        <f>IF(B2&gt;C2,1,0)</f>
        <v>1</v>
      </c>
      <c r="E2">
        <f>C2-B2</f>
        <v>-62.55780556499694</v>
      </c>
      <c r="F2">
        <v>7.0595041739385298</v>
      </c>
      <c r="G2">
        <v>16.387593406556501</v>
      </c>
      <c r="H2">
        <f>IF(F2&gt;G2,1,0)</f>
        <v>0</v>
      </c>
      <c r="I2">
        <f>F2-G2</f>
        <v>-9.3280892326179714</v>
      </c>
      <c r="J2">
        <f>B2+G2</f>
        <v>126.3040091776634</v>
      </c>
      <c r="K2">
        <f>C2+F2</f>
        <v>54.418114380048486</v>
      </c>
      <c r="L2">
        <f>IF(K2-J2&gt;J2,1,0)</f>
        <v>0</v>
      </c>
      <c r="M2">
        <f>IF(J2-K2&gt;K2,1,0)</f>
        <v>1</v>
      </c>
    </row>
    <row r="3" spans="1:13" x14ac:dyDescent="0.35">
      <c r="A3" s="1" t="s">
        <v>3</v>
      </c>
      <c r="B3">
        <v>175.43750414225599</v>
      </c>
      <c r="C3">
        <v>17.189754779671301</v>
      </c>
      <c r="D3">
        <f t="shared" ref="D3:D66" si="0">IF(B3&gt;C3,1,0)</f>
        <v>1</v>
      </c>
      <c r="E3">
        <f t="shared" ref="E3:E66" si="1">C3-B3</f>
        <v>-158.2477493625847</v>
      </c>
      <c r="F3">
        <v>16.577424550988081</v>
      </c>
      <c r="G3">
        <v>155.54879302466469</v>
      </c>
      <c r="H3">
        <f t="shared" ref="H3:H66" si="2">IF(F3&gt;G3,1,0)</f>
        <v>0</v>
      </c>
      <c r="I3">
        <f t="shared" ref="I3:I66" si="3">F3-G3</f>
        <v>-138.97136847367662</v>
      </c>
      <c r="J3">
        <f t="shared" ref="J3:J66" si="4">B3+G3</f>
        <v>330.98629716692068</v>
      </c>
      <c r="K3">
        <f t="shared" ref="K3:K66" si="5">C3+F3</f>
        <v>33.767179330659381</v>
      </c>
      <c r="L3">
        <f t="shared" ref="L3:L66" si="6">IF(K3-J3&gt;J3,1,0)</f>
        <v>0</v>
      </c>
      <c r="M3">
        <f t="shared" ref="M3:M66" si="7">IF(J3-K3&gt;K3,1,0)</f>
        <v>1</v>
      </c>
    </row>
    <row r="4" spans="1:13" x14ac:dyDescent="0.35">
      <c r="A4" s="1" t="s">
        <v>4</v>
      </c>
      <c r="B4">
        <v>180.62336636310999</v>
      </c>
      <c r="C4">
        <v>45.888888930826766</v>
      </c>
      <c r="D4">
        <f t="shared" si="0"/>
        <v>1</v>
      </c>
      <c r="E4">
        <f t="shared" si="1"/>
        <v>-134.73447743228323</v>
      </c>
      <c r="F4">
        <v>11.00849599994902</v>
      </c>
      <c r="G4">
        <v>103.17765283295221</v>
      </c>
      <c r="H4">
        <f t="shared" si="2"/>
        <v>0</v>
      </c>
      <c r="I4">
        <f t="shared" si="3"/>
        <v>-92.169156833003186</v>
      </c>
      <c r="J4">
        <f t="shared" si="4"/>
        <v>283.80101919606221</v>
      </c>
      <c r="K4">
        <f t="shared" si="5"/>
        <v>56.897384930775786</v>
      </c>
      <c r="L4">
        <f t="shared" si="6"/>
        <v>0</v>
      </c>
      <c r="M4">
        <f t="shared" si="7"/>
        <v>1</v>
      </c>
    </row>
    <row r="5" spans="1:13" x14ac:dyDescent="0.35">
      <c r="A5" s="1" t="s">
        <v>5</v>
      </c>
      <c r="B5">
        <v>49.880931801408423</v>
      </c>
      <c r="C5">
        <v>55.074510315336823</v>
      </c>
      <c r="D5">
        <f t="shared" si="0"/>
        <v>0</v>
      </c>
      <c r="E5">
        <f t="shared" si="1"/>
        <v>5.1935785139284008</v>
      </c>
      <c r="F5">
        <v>52.128920906546128</v>
      </c>
      <c r="G5">
        <v>36.541432609088993</v>
      </c>
      <c r="H5">
        <f t="shared" si="2"/>
        <v>1</v>
      </c>
      <c r="I5">
        <f t="shared" si="3"/>
        <v>15.587488297457135</v>
      </c>
      <c r="J5">
        <f t="shared" si="4"/>
        <v>86.422364410497408</v>
      </c>
      <c r="K5">
        <f t="shared" si="5"/>
        <v>107.20343122188295</v>
      </c>
      <c r="L5">
        <f t="shared" si="6"/>
        <v>0</v>
      </c>
      <c r="M5">
        <f t="shared" si="7"/>
        <v>0</v>
      </c>
    </row>
    <row r="6" spans="1:13" x14ac:dyDescent="0.35">
      <c r="A6" s="1" t="s">
        <v>6</v>
      </c>
      <c r="B6">
        <v>328.09383148395341</v>
      </c>
      <c r="C6">
        <v>365.33794802965531</v>
      </c>
      <c r="D6">
        <f t="shared" si="0"/>
        <v>0</v>
      </c>
      <c r="E6">
        <f t="shared" si="1"/>
        <v>37.2441165457019</v>
      </c>
      <c r="F6">
        <v>339.16904235613538</v>
      </c>
      <c r="G6">
        <v>316.2006022001284</v>
      </c>
      <c r="H6">
        <f t="shared" si="2"/>
        <v>1</v>
      </c>
      <c r="I6">
        <f t="shared" si="3"/>
        <v>22.968440156006977</v>
      </c>
      <c r="J6">
        <f t="shared" si="4"/>
        <v>644.29443368408181</v>
      </c>
      <c r="K6">
        <f t="shared" si="5"/>
        <v>704.50699038579069</v>
      </c>
      <c r="L6">
        <f t="shared" si="6"/>
        <v>0</v>
      </c>
      <c r="M6">
        <f t="shared" si="7"/>
        <v>0</v>
      </c>
    </row>
    <row r="7" spans="1:13" x14ac:dyDescent="0.35">
      <c r="A7" s="1" t="s">
        <v>7</v>
      </c>
      <c r="B7">
        <v>48.760277521050938</v>
      </c>
      <c r="C7">
        <v>17.179038448770299</v>
      </c>
      <c r="D7">
        <f t="shared" si="0"/>
        <v>1</v>
      </c>
      <c r="E7">
        <f t="shared" si="1"/>
        <v>-31.581239072280638</v>
      </c>
      <c r="F7">
        <v>37.72475442703913</v>
      </c>
      <c r="G7">
        <v>53.997321100593531</v>
      </c>
      <c r="H7">
        <f t="shared" si="2"/>
        <v>0</v>
      </c>
      <c r="I7">
        <f t="shared" si="3"/>
        <v>-16.272566673554401</v>
      </c>
      <c r="J7">
        <f t="shared" si="4"/>
        <v>102.75759862164446</v>
      </c>
      <c r="K7">
        <f t="shared" si="5"/>
        <v>54.90379287580943</v>
      </c>
      <c r="L7">
        <f t="shared" si="6"/>
        <v>0</v>
      </c>
      <c r="M7">
        <f t="shared" si="7"/>
        <v>0</v>
      </c>
    </row>
    <row r="8" spans="1:13" x14ac:dyDescent="0.35">
      <c r="A8" s="1" t="s">
        <v>8</v>
      </c>
      <c r="B8">
        <v>23.657761243930601</v>
      </c>
      <c r="C8">
        <v>76.517717299530304</v>
      </c>
      <c r="D8">
        <f t="shared" si="0"/>
        <v>0</v>
      </c>
      <c r="E8">
        <f t="shared" si="1"/>
        <v>52.859956055599703</v>
      </c>
      <c r="F8">
        <v>77.458630574897512</v>
      </c>
      <c r="G8">
        <v>23.26815606615056</v>
      </c>
      <c r="H8">
        <f t="shared" si="2"/>
        <v>1</v>
      </c>
      <c r="I8">
        <f t="shared" si="3"/>
        <v>54.190474508746952</v>
      </c>
      <c r="J8">
        <f t="shared" si="4"/>
        <v>46.925917310081161</v>
      </c>
      <c r="K8">
        <f t="shared" si="5"/>
        <v>153.9763478744278</v>
      </c>
      <c r="L8">
        <f t="shared" si="6"/>
        <v>1</v>
      </c>
      <c r="M8">
        <f t="shared" si="7"/>
        <v>0</v>
      </c>
    </row>
    <row r="9" spans="1:13" x14ac:dyDescent="0.35">
      <c r="A9" s="1" t="s">
        <v>9</v>
      </c>
      <c r="B9">
        <v>6.0418322368982862</v>
      </c>
      <c r="C9">
        <v>8.6490802898973129</v>
      </c>
      <c r="D9">
        <f t="shared" si="0"/>
        <v>0</v>
      </c>
      <c r="E9">
        <f t="shared" si="1"/>
        <v>2.6072480529990267</v>
      </c>
      <c r="F9">
        <v>1.53991805642041</v>
      </c>
      <c r="G9">
        <v>4.0431387475854548</v>
      </c>
      <c r="H9">
        <f t="shared" si="2"/>
        <v>0</v>
      </c>
      <c r="I9">
        <f t="shared" si="3"/>
        <v>-2.503220691165045</v>
      </c>
      <c r="J9">
        <f t="shared" si="4"/>
        <v>10.084970984483741</v>
      </c>
      <c r="K9">
        <f t="shared" si="5"/>
        <v>10.188998346317723</v>
      </c>
      <c r="L9">
        <f t="shared" si="6"/>
        <v>0</v>
      </c>
      <c r="M9">
        <f t="shared" si="7"/>
        <v>0</v>
      </c>
    </row>
    <row r="10" spans="1:13" x14ac:dyDescent="0.35">
      <c r="A10" s="1" t="s">
        <v>10</v>
      </c>
      <c r="B10">
        <v>216.4714801574996</v>
      </c>
      <c r="C10">
        <v>160.88632221157789</v>
      </c>
      <c r="D10">
        <f t="shared" si="0"/>
        <v>1</v>
      </c>
      <c r="E10">
        <f t="shared" si="1"/>
        <v>-55.585157945921708</v>
      </c>
      <c r="F10">
        <v>64.355579012065547</v>
      </c>
      <c r="G10">
        <v>61.366130929631773</v>
      </c>
      <c r="H10">
        <f t="shared" si="2"/>
        <v>1</v>
      </c>
      <c r="I10">
        <f t="shared" si="3"/>
        <v>2.9894480824337748</v>
      </c>
      <c r="J10">
        <f t="shared" si="4"/>
        <v>277.83761108713139</v>
      </c>
      <c r="K10">
        <f t="shared" si="5"/>
        <v>225.24190122364342</v>
      </c>
      <c r="L10">
        <f t="shared" si="6"/>
        <v>0</v>
      </c>
      <c r="M10">
        <f t="shared" si="7"/>
        <v>0</v>
      </c>
    </row>
    <row r="11" spans="1:13" x14ac:dyDescent="0.35">
      <c r="A11" s="1" t="s">
        <v>11</v>
      </c>
      <c r="B11">
        <v>183.41000077215091</v>
      </c>
      <c r="C11">
        <v>216.40258050023871</v>
      </c>
      <c r="D11">
        <f t="shared" si="0"/>
        <v>0</v>
      </c>
      <c r="E11">
        <f t="shared" si="1"/>
        <v>32.992579728087804</v>
      </c>
      <c r="F11">
        <v>245.5516081276362</v>
      </c>
      <c r="G11">
        <v>179.71122599949771</v>
      </c>
      <c r="H11">
        <f t="shared" si="2"/>
        <v>1</v>
      </c>
      <c r="I11">
        <f t="shared" si="3"/>
        <v>65.840382128138486</v>
      </c>
      <c r="J11">
        <f t="shared" si="4"/>
        <v>363.12122677164859</v>
      </c>
      <c r="K11">
        <f t="shared" si="5"/>
        <v>461.95418862787494</v>
      </c>
      <c r="L11">
        <f t="shared" si="6"/>
        <v>0</v>
      </c>
      <c r="M11">
        <f t="shared" si="7"/>
        <v>0</v>
      </c>
    </row>
    <row r="12" spans="1:13" x14ac:dyDescent="0.35">
      <c r="A12" s="1" t="s">
        <v>12</v>
      </c>
      <c r="B12">
        <v>374.67437235442731</v>
      </c>
      <c r="C12">
        <v>390.56798897538562</v>
      </c>
      <c r="D12">
        <f t="shared" si="0"/>
        <v>0</v>
      </c>
      <c r="E12">
        <f t="shared" si="1"/>
        <v>15.893616620958312</v>
      </c>
      <c r="F12">
        <v>389.72849548522271</v>
      </c>
      <c r="G12">
        <v>407.49345995167141</v>
      </c>
      <c r="H12">
        <f t="shared" si="2"/>
        <v>0</v>
      </c>
      <c r="I12">
        <f t="shared" si="3"/>
        <v>-17.764964466448703</v>
      </c>
      <c r="J12">
        <f t="shared" si="4"/>
        <v>782.16783230609872</v>
      </c>
      <c r="K12">
        <f t="shared" si="5"/>
        <v>780.29648446060833</v>
      </c>
      <c r="L12">
        <f t="shared" si="6"/>
        <v>0</v>
      </c>
      <c r="M12">
        <f t="shared" si="7"/>
        <v>0</v>
      </c>
    </row>
    <row r="13" spans="1:13" x14ac:dyDescent="0.35">
      <c r="A13" s="1" t="s">
        <v>13</v>
      </c>
      <c r="B13">
        <v>216.93193857840541</v>
      </c>
      <c r="C13">
        <v>261.3018157312253</v>
      </c>
      <c r="D13">
        <f t="shared" si="0"/>
        <v>0</v>
      </c>
      <c r="E13">
        <f t="shared" si="1"/>
        <v>44.369877152819896</v>
      </c>
      <c r="F13">
        <v>252.75678902469309</v>
      </c>
      <c r="G13">
        <v>237.3841870558642</v>
      </c>
      <c r="H13">
        <f t="shared" si="2"/>
        <v>1</v>
      </c>
      <c r="I13">
        <f t="shared" si="3"/>
        <v>15.372601968828889</v>
      </c>
      <c r="J13">
        <f t="shared" si="4"/>
        <v>454.31612563426961</v>
      </c>
      <c r="K13">
        <f t="shared" si="5"/>
        <v>514.0586047559184</v>
      </c>
      <c r="L13">
        <f t="shared" si="6"/>
        <v>0</v>
      </c>
      <c r="M13">
        <f t="shared" si="7"/>
        <v>0</v>
      </c>
    </row>
    <row r="14" spans="1:13" x14ac:dyDescent="0.35">
      <c r="A14" s="1" t="s">
        <v>14</v>
      </c>
      <c r="B14">
        <v>13.64249555870987</v>
      </c>
      <c r="C14">
        <v>17.047620552663009</v>
      </c>
      <c r="D14">
        <f t="shared" si="0"/>
        <v>0</v>
      </c>
      <c r="E14">
        <f t="shared" si="1"/>
        <v>3.4051249939531392</v>
      </c>
      <c r="F14">
        <v>16.53914472110614</v>
      </c>
      <c r="G14">
        <v>12.4544028362661</v>
      </c>
      <c r="H14">
        <f t="shared" si="2"/>
        <v>1</v>
      </c>
      <c r="I14">
        <f t="shared" si="3"/>
        <v>4.0847418848400405</v>
      </c>
      <c r="J14">
        <f t="shared" si="4"/>
        <v>26.09689839497597</v>
      </c>
      <c r="K14">
        <f t="shared" si="5"/>
        <v>33.586765273769146</v>
      </c>
      <c r="L14">
        <f t="shared" si="6"/>
        <v>0</v>
      </c>
      <c r="M14">
        <f t="shared" si="7"/>
        <v>0</v>
      </c>
    </row>
    <row r="15" spans="1:13" x14ac:dyDescent="0.35">
      <c r="A15" s="1" t="s">
        <v>15</v>
      </c>
      <c r="B15">
        <v>231.43045485718841</v>
      </c>
      <c r="C15">
        <v>202.71629913301189</v>
      </c>
      <c r="D15">
        <f t="shared" si="0"/>
        <v>1</v>
      </c>
      <c r="E15">
        <f t="shared" si="1"/>
        <v>-28.714155724176521</v>
      </c>
      <c r="F15">
        <v>5.6516369477629294</v>
      </c>
      <c r="G15">
        <v>5.4262627111562747</v>
      </c>
      <c r="H15">
        <f t="shared" si="2"/>
        <v>1</v>
      </c>
      <c r="I15">
        <f t="shared" si="3"/>
        <v>0.22537423660665468</v>
      </c>
      <c r="J15">
        <f t="shared" si="4"/>
        <v>236.85671756834469</v>
      </c>
      <c r="K15">
        <f t="shared" si="5"/>
        <v>208.36793608077483</v>
      </c>
      <c r="L15">
        <f t="shared" si="6"/>
        <v>0</v>
      </c>
      <c r="M15">
        <f t="shared" si="7"/>
        <v>0</v>
      </c>
    </row>
    <row r="16" spans="1:13" x14ac:dyDescent="0.35">
      <c r="A16" s="1" t="s">
        <v>16</v>
      </c>
      <c r="B16">
        <v>45.189903719735398</v>
      </c>
      <c r="C16">
        <v>76.442218420586286</v>
      </c>
      <c r="D16">
        <f t="shared" si="0"/>
        <v>0</v>
      </c>
      <c r="E16">
        <f t="shared" si="1"/>
        <v>31.252314700850889</v>
      </c>
      <c r="F16">
        <v>58.854792959928872</v>
      </c>
      <c r="G16">
        <v>57.284097890020213</v>
      </c>
      <c r="H16">
        <f t="shared" si="2"/>
        <v>1</v>
      </c>
      <c r="I16">
        <f t="shared" si="3"/>
        <v>1.570695069908659</v>
      </c>
      <c r="J16">
        <f t="shared" si="4"/>
        <v>102.47400160975562</v>
      </c>
      <c r="K16">
        <f t="shared" si="5"/>
        <v>135.29701138051516</v>
      </c>
      <c r="L16">
        <f t="shared" si="6"/>
        <v>0</v>
      </c>
      <c r="M16">
        <f t="shared" si="7"/>
        <v>0</v>
      </c>
    </row>
    <row r="17" spans="1:13" x14ac:dyDescent="0.35">
      <c r="A17" s="1" t="s">
        <v>17</v>
      </c>
      <c r="B17">
        <v>9.0925440135005502</v>
      </c>
      <c r="C17">
        <v>18.568292884181101</v>
      </c>
      <c r="D17">
        <f t="shared" si="0"/>
        <v>0</v>
      </c>
      <c r="E17">
        <f t="shared" si="1"/>
        <v>9.4757488706805511</v>
      </c>
      <c r="F17">
        <v>17.903957094630041</v>
      </c>
      <c r="G17">
        <v>10.10217903827988</v>
      </c>
      <c r="H17">
        <f t="shared" si="2"/>
        <v>1</v>
      </c>
      <c r="I17">
        <f t="shared" si="3"/>
        <v>7.8017780563501606</v>
      </c>
      <c r="J17">
        <f t="shared" si="4"/>
        <v>19.194723051780429</v>
      </c>
      <c r="K17">
        <f t="shared" si="5"/>
        <v>36.472249978811142</v>
      </c>
      <c r="L17">
        <f t="shared" si="6"/>
        <v>0</v>
      </c>
      <c r="M17">
        <f t="shared" si="7"/>
        <v>0</v>
      </c>
    </row>
    <row r="18" spans="1:13" x14ac:dyDescent="0.35">
      <c r="A18" s="1" t="s">
        <v>18</v>
      </c>
      <c r="B18">
        <v>111.391977870575</v>
      </c>
      <c r="C18">
        <v>205.00477571271529</v>
      </c>
      <c r="D18">
        <f t="shared" si="0"/>
        <v>0</v>
      </c>
      <c r="E18">
        <f t="shared" si="1"/>
        <v>93.612797842140282</v>
      </c>
      <c r="F18">
        <v>143.43277844571659</v>
      </c>
      <c r="G18">
        <v>124.0165112966866</v>
      </c>
      <c r="H18">
        <f t="shared" si="2"/>
        <v>1</v>
      </c>
      <c r="I18">
        <f t="shared" si="3"/>
        <v>19.416267149029991</v>
      </c>
      <c r="J18">
        <f t="shared" si="4"/>
        <v>235.40848916726162</v>
      </c>
      <c r="K18">
        <f t="shared" si="5"/>
        <v>348.43755415843191</v>
      </c>
      <c r="L18">
        <f t="shared" si="6"/>
        <v>0</v>
      </c>
      <c r="M18">
        <f t="shared" si="7"/>
        <v>0</v>
      </c>
    </row>
    <row r="19" spans="1:13" x14ac:dyDescent="0.35">
      <c r="A19" s="1" t="s">
        <v>19</v>
      </c>
      <c r="B19">
        <v>311.51672917607578</v>
      </c>
      <c r="C19">
        <v>354.26825894729899</v>
      </c>
      <c r="D19">
        <f t="shared" si="0"/>
        <v>0</v>
      </c>
      <c r="E19">
        <f t="shared" si="1"/>
        <v>42.751529771223204</v>
      </c>
      <c r="F19">
        <v>366.64952233391517</v>
      </c>
      <c r="G19">
        <v>324.63603450007162</v>
      </c>
      <c r="H19">
        <f t="shared" si="2"/>
        <v>1</v>
      </c>
      <c r="I19">
        <f t="shared" si="3"/>
        <v>42.013487833843556</v>
      </c>
      <c r="J19">
        <f t="shared" si="4"/>
        <v>636.1527636761474</v>
      </c>
      <c r="K19">
        <f t="shared" si="5"/>
        <v>720.91778128121416</v>
      </c>
      <c r="L19">
        <f t="shared" si="6"/>
        <v>0</v>
      </c>
      <c r="M19">
        <f t="shared" si="7"/>
        <v>0</v>
      </c>
    </row>
    <row r="20" spans="1:13" x14ac:dyDescent="0.35">
      <c r="A20" s="1" t="s">
        <v>20</v>
      </c>
      <c r="B20">
        <v>274.78119809977858</v>
      </c>
      <c r="C20">
        <v>265.09962289127549</v>
      </c>
      <c r="D20">
        <f t="shared" si="0"/>
        <v>1</v>
      </c>
      <c r="E20">
        <f t="shared" si="1"/>
        <v>-9.6815752085030908</v>
      </c>
      <c r="F20">
        <v>60.174613660207413</v>
      </c>
      <c r="G20">
        <v>56.810140078582577</v>
      </c>
      <c r="H20">
        <f t="shared" si="2"/>
        <v>1</v>
      </c>
      <c r="I20">
        <f t="shared" si="3"/>
        <v>3.3644735816248357</v>
      </c>
      <c r="J20">
        <f t="shared" si="4"/>
        <v>331.59133817836118</v>
      </c>
      <c r="K20">
        <f t="shared" si="5"/>
        <v>325.27423655148289</v>
      </c>
      <c r="L20">
        <f t="shared" si="6"/>
        <v>0</v>
      </c>
      <c r="M20">
        <f t="shared" si="7"/>
        <v>0</v>
      </c>
    </row>
    <row r="21" spans="1:13" x14ac:dyDescent="0.35">
      <c r="A21" s="1" t="s">
        <v>21</v>
      </c>
      <c r="B21">
        <v>238.1236115023008</v>
      </c>
      <c r="C21">
        <v>23.727406244050069</v>
      </c>
      <c r="D21">
        <f t="shared" si="0"/>
        <v>1</v>
      </c>
      <c r="E21">
        <f t="shared" si="1"/>
        <v>-214.39620525825075</v>
      </c>
      <c r="F21">
        <v>31.464257288497389</v>
      </c>
      <c r="G21">
        <v>299.72422304225171</v>
      </c>
      <c r="H21">
        <f t="shared" si="2"/>
        <v>0</v>
      </c>
      <c r="I21">
        <f t="shared" si="3"/>
        <v>-268.25996575375433</v>
      </c>
      <c r="J21">
        <f t="shared" si="4"/>
        <v>537.84783454455248</v>
      </c>
      <c r="K21">
        <f t="shared" si="5"/>
        <v>55.191663532547459</v>
      </c>
      <c r="L21">
        <f t="shared" si="6"/>
        <v>0</v>
      </c>
      <c r="M21">
        <f t="shared" si="7"/>
        <v>1</v>
      </c>
    </row>
    <row r="22" spans="1:13" x14ac:dyDescent="0.35">
      <c r="A22" s="1" t="s">
        <v>22</v>
      </c>
      <c r="B22">
        <v>191.78129721634849</v>
      </c>
      <c r="C22">
        <v>38.567936817463668</v>
      </c>
      <c r="D22">
        <f t="shared" si="0"/>
        <v>1</v>
      </c>
      <c r="E22">
        <f t="shared" si="1"/>
        <v>-153.21336039888482</v>
      </c>
      <c r="F22">
        <v>36.390768964587068</v>
      </c>
      <c r="G22">
        <v>182.02470139403491</v>
      </c>
      <c r="H22">
        <f t="shared" si="2"/>
        <v>0</v>
      </c>
      <c r="I22">
        <f t="shared" si="3"/>
        <v>-145.63393242944784</v>
      </c>
      <c r="J22">
        <f t="shared" si="4"/>
        <v>373.80599861038343</v>
      </c>
      <c r="K22">
        <f t="shared" si="5"/>
        <v>74.958705782050743</v>
      </c>
      <c r="L22">
        <f t="shared" si="6"/>
        <v>0</v>
      </c>
      <c r="M22">
        <f t="shared" si="7"/>
        <v>1</v>
      </c>
    </row>
    <row r="23" spans="1:13" x14ac:dyDescent="0.35">
      <c r="A23" s="1" t="s">
        <v>23</v>
      </c>
      <c r="B23">
        <v>152.6226858944608</v>
      </c>
      <c r="C23">
        <v>36.390474188840876</v>
      </c>
      <c r="D23">
        <f t="shared" si="0"/>
        <v>1</v>
      </c>
      <c r="E23">
        <f t="shared" si="1"/>
        <v>-116.23221170561993</v>
      </c>
      <c r="F23">
        <v>0.42145121352933751</v>
      </c>
      <c r="G23">
        <v>90.095571806155419</v>
      </c>
      <c r="H23">
        <f t="shared" si="2"/>
        <v>0</v>
      </c>
      <c r="I23">
        <f t="shared" si="3"/>
        <v>-89.674120592626082</v>
      </c>
      <c r="J23">
        <f t="shared" si="4"/>
        <v>242.71825770061622</v>
      </c>
      <c r="K23">
        <f t="shared" si="5"/>
        <v>36.811925402370214</v>
      </c>
      <c r="L23">
        <f t="shared" si="6"/>
        <v>0</v>
      </c>
      <c r="M23">
        <f t="shared" si="7"/>
        <v>1</v>
      </c>
    </row>
    <row r="24" spans="1:13" x14ac:dyDescent="0.35">
      <c r="A24" s="1" t="s">
        <v>24</v>
      </c>
      <c r="B24">
        <v>91.290847087483868</v>
      </c>
      <c r="C24">
        <v>270.16641726860018</v>
      </c>
      <c r="D24">
        <f t="shared" si="0"/>
        <v>0</v>
      </c>
      <c r="E24">
        <f t="shared" si="1"/>
        <v>178.8755701811163</v>
      </c>
      <c r="F24">
        <v>257.31124216364498</v>
      </c>
      <c r="G24">
        <v>95.99790257786708</v>
      </c>
      <c r="H24">
        <f t="shared" si="2"/>
        <v>1</v>
      </c>
      <c r="I24">
        <f t="shared" si="3"/>
        <v>161.3133395857779</v>
      </c>
      <c r="J24">
        <f t="shared" si="4"/>
        <v>187.28874966535096</v>
      </c>
      <c r="K24">
        <f t="shared" si="5"/>
        <v>527.47765943224522</v>
      </c>
      <c r="L24">
        <f t="shared" si="6"/>
        <v>1</v>
      </c>
      <c r="M24">
        <f t="shared" si="7"/>
        <v>0</v>
      </c>
    </row>
    <row r="25" spans="1:13" x14ac:dyDescent="0.35">
      <c r="A25" s="1" t="s">
        <v>25</v>
      </c>
      <c r="B25">
        <v>25.824037384736179</v>
      </c>
      <c r="C25">
        <v>259.08358140532061</v>
      </c>
      <c r="D25">
        <f t="shared" si="0"/>
        <v>0</v>
      </c>
      <c r="E25">
        <f t="shared" si="1"/>
        <v>233.25954402058443</v>
      </c>
      <c r="F25">
        <v>231.07973291864991</v>
      </c>
      <c r="G25">
        <v>176.6886130914622</v>
      </c>
      <c r="H25">
        <f t="shared" si="2"/>
        <v>1</v>
      </c>
      <c r="I25">
        <f t="shared" si="3"/>
        <v>54.391119827187708</v>
      </c>
      <c r="J25">
        <f t="shared" si="4"/>
        <v>202.51265047619839</v>
      </c>
      <c r="K25">
        <f t="shared" si="5"/>
        <v>490.16331432397055</v>
      </c>
      <c r="L25">
        <f t="shared" si="6"/>
        <v>1</v>
      </c>
      <c r="M25">
        <f t="shared" si="7"/>
        <v>0</v>
      </c>
    </row>
    <row r="26" spans="1:13" x14ac:dyDescent="0.35">
      <c r="A26" s="1" t="s">
        <v>26</v>
      </c>
      <c r="B26">
        <v>15.652319489226301</v>
      </c>
      <c r="C26">
        <v>42.290168914245292</v>
      </c>
      <c r="D26">
        <f t="shared" si="0"/>
        <v>0</v>
      </c>
      <c r="E26">
        <f t="shared" si="1"/>
        <v>26.637849425018992</v>
      </c>
      <c r="F26">
        <v>38.084476162075767</v>
      </c>
      <c r="G26">
        <v>13.48090071581062</v>
      </c>
      <c r="H26">
        <f t="shared" si="2"/>
        <v>1</v>
      </c>
      <c r="I26">
        <f t="shared" si="3"/>
        <v>24.603575446265147</v>
      </c>
      <c r="J26">
        <f t="shared" si="4"/>
        <v>29.13322020503692</v>
      </c>
      <c r="K26">
        <f t="shared" si="5"/>
        <v>80.374645076321059</v>
      </c>
      <c r="L26">
        <f t="shared" si="6"/>
        <v>1</v>
      </c>
      <c r="M26">
        <f t="shared" si="7"/>
        <v>0</v>
      </c>
    </row>
    <row r="27" spans="1:13" x14ac:dyDescent="0.35">
      <c r="A27" s="1" t="s">
        <v>27</v>
      </c>
      <c r="B27">
        <v>228.4085512437187</v>
      </c>
      <c r="C27">
        <v>13.778342036628031</v>
      </c>
      <c r="D27">
        <f t="shared" si="0"/>
        <v>1</v>
      </c>
      <c r="E27">
        <f t="shared" si="1"/>
        <v>-214.63020920709067</v>
      </c>
      <c r="F27">
        <v>13.679858110518429</v>
      </c>
      <c r="G27">
        <v>12.381507050648381</v>
      </c>
      <c r="H27">
        <f t="shared" si="2"/>
        <v>1</v>
      </c>
      <c r="I27">
        <f t="shared" si="3"/>
        <v>1.2983510598700487</v>
      </c>
      <c r="J27">
        <f t="shared" si="4"/>
        <v>240.7900582943671</v>
      </c>
      <c r="K27">
        <f t="shared" si="5"/>
        <v>27.45820014714646</v>
      </c>
      <c r="L27">
        <f t="shared" si="6"/>
        <v>0</v>
      </c>
      <c r="M27">
        <f t="shared" si="7"/>
        <v>1</v>
      </c>
    </row>
    <row r="28" spans="1:13" x14ac:dyDescent="0.35">
      <c r="A28" s="1" t="s">
        <v>28</v>
      </c>
      <c r="B28">
        <v>14.40760270792463</v>
      </c>
      <c r="C28">
        <v>208.0856881277488</v>
      </c>
      <c r="D28">
        <f t="shared" si="0"/>
        <v>0</v>
      </c>
      <c r="E28">
        <f t="shared" si="1"/>
        <v>193.67808541982416</v>
      </c>
      <c r="F28">
        <v>142.47463055734039</v>
      </c>
      <c r="G28">
        <v>59.928615204042657</v>
      </c>
      <c r="H28">
        <f t="shared" si="2"/>
        <v>1</v>
      </c>
      <c r="I28">
        <f t="shared" si="3"/>
        <v>82.546015353297733</v>
      </c>
      <c r="J28">
        <f t="shared" si="4"/>
        <v>74.336217911967282</v>
      </c>
      <c r="K28">
        <f t="shared" si="5"/>
        <v>350.56031868508921</v>
      </c>
      <c r="L28">
        <f t="shared" si="6"/>
        <v>1</v>
      </c>
      <c r="M28">
        <f t="shared" si="7"/>
        <v>0</v>
      </c>
    </row>
    <row r="29" spans="1:13" x14ac:dyDescent="0.35">
      <c r="A29" s="1" t="s">
        <v>29</v>
      </c>
      <c r="B29">
        <v>198.86546175548821</v>
      </c>
      <c r="C29">
        <v>190.15376136720619</v>
      </c>
      <c r="D29">
        <f t="shared" si="0"/>
        <v>1</v>
      </c>
      <c r="E29">
        <f t="shared" si="1"/>
        <v>-8.7117003882820256</v>
      </c>
      <c r="F29">
        <v>20.068511243335742</v>
      </c>
      <c r="G29">
        <v>61.866845592654599</v>
      </c>
      <c r="H29">
        <f t="shared" si="2"/>
        <v>0</v>
      </c>
      <c r="I29">
        <f t="shared" si="3"/>
        <v>-41.798334349318857</v>
      </c>
      <c r="J29">
        <f t="shared" si="4"/>
        <v>260.7323073481428</v>
      </c>
      <c r="K29">
        <f t="shared" si="5"/>
        <v>210.22227261054192</v>
      </c>
      <c r="L29">
        <f t="shared" si="6"/>
        <v>0</v>
      </c>
      <c r="M29">
        <f t="shared" si="7"/>
        <v>0</v>
      </c>
    </row>
    <row r="30" spans="1:13" x14ac:dyDescent="0.35">
      <c r="A30" s="1" t="s">
        <v>30</v>
      </c>
      <c r="B30">
        <v>6.0130395884761487</v>
      </c>
      <c r="C30">
        <v>10.98647782762529</v>
      </c>
      <c r="D30">
        <f t="shared" si="0"/>
        <v>0</v>
      </c>
      <c r="E30">
        <f t="shared" si="1"/>
        <v>4.9734382391491412</v>
      </c>
      <c r="F30">
        <v>2.0748077582637761</v>
      </c>
      <c r="G30">
        <v>2.1849796295261981</v>
      </c>
      <c r="H30">
        <f t="shared" si="2"/>
        <v>0</v>
      </c>
      <c r="I30">
        <f t="shared" si="3"/>
        <v>-0.11017187126242201</v>
      </c>
      <c r="J30">
        <f t="shared" si="4"/>
        <v>8.1980192180023472</v>
      </c>
      <c r="K30">
        <f t="shared" si="5"/>
        <v>13.061285585889067</v>
      </c>
      <c r="L30">
        <f t="shared" si="6"/>
        <v>0</v>
      </c>
      <c r="M30">
        <f t="shared" si="7"/>
        <v>0</v>
      </c>
    </row>
    <row r="31" spans="1:13" x14ac:dyDescent="0.35">
      <c r="A31" s="1" t="s">
        <v>31</v>
      </c>
      <c r="B31">
        <v>299.14071801151579</v>
      </c>
      <c r="C31">
        <v>324.34333618626113</v>
      </c>
      <c r="D31">
        <f t="shared" si="0"/>
        <v>0</v>
      </c>
      <c r="E31">
        <f t="shared" si="1"/>
        <v>25.202618174745339</v>
      </c>
      <c r="F31">
        <v>335.40601444094932</v>
      </c>
      <c r="G31">
        <v>313.48054668099508</v>
      </c>
      <c r="H31">
        <f t="shared" si="2"/>
        <v>1</v>
      </c>
      <c r="I31">
        <f t="shared" si="3"/>
        <v>21.925467759954245</v>
      </c>
      <c r="J31">
        <f t="shared" si="4"/>
        <v>612.62126469251086</v>
      </c>
      <c r="K31">
        <f t="shared" si="5"/>
        <v>659.74935062721045</v>
      </c>
      <c r="L31">
        <f t="shared" si="6"/>
        <v>0</v>
      </c>
      <c r="M31">
        <f t="shared" si="7"/>
        <v>0</v>
      </c>
    </row>
    <row r="32" spans="1:13" x14ac:dyDescent="0.35">
      <c r="A32" s="1" t="s">
        <v>32</v>
      </c>
      <c r="B32">
        <v>296.49764711731518</v>
      </c>
      <c r="C32">
        <v>270.98937871228111</v>
      </c>
      <c r="D32">
        <f t="shared" si="0"/>
        <v>1</v>
      </c>
      <c r="E32">
        <f t="shared" si="1"/>
        <v>-25.508268405034073</v>
      </c>
      <c r="F32">
        <v>113.2664568401285</v>
      </c>
      <c r="G32">
        <v>116.11207914809241</v>
      </c>
      <c r="H32">
        <f t="shared" si="2"/>
        <v>0</v>
      </c>
      <c r="I32">
        <f t="shared" si="3"/>
        <v>-2.8456223079639074</v>
      </c>
      <c r="J32">
        <f t="shared" si="4"/>
        <v>412.60972626540757</v>
      </c>
      <c r="K32">
        <f t="shared" si="5"/>
        <v>384.25583555240962</v>
      </c>
      <c r="L32">
        <f t="shared" si="6"/>
        <v>0</v>
      </c>
      <c r="M32">
        <f t="shared" si="7"/>
        <v>0</v>
      </c>
    </row>
    <row r="33" spans="1:13" x14ac:dyDescent="0.35">
      <c r="A33" s="1" t="s">
        <v>33</v>
      </c>
      <c r="B33">
        <v>130.13961143397381</v>
      </c>
      <c r="C33">
        <v>91.886735436638972</v>
      </c>
      <c r="D33">
        <f t="shared" si="0"/>
        <v>1</v>
      </c>
      <c r="E33">
        <f t="shared" si="1"/>
        <v>-38.25287599733484</v>
      </c>
      <c r="F33">
        <v>43.625145352201727</v>
      </c>
      <c r="G33">
        <v>53.639846275835687</v>
      </c>
      <c r="H33">
        <f t="shared" si="2"/>
        <v>0</v>
      </c>
      <c r="I33">
        <f t="shared" si="3"/>
        <v>-10.01470092363396</v>
      </c>
      <c r="J33">
        <f t="shared" si="4"/>
        <v>183.77945770980949</v>
      </c>
      <c r="K33">
        <f t="shared" si="5"/>
        <v>135.5118807888407</v>
      </c>
      <c r="L33">
        <f t="shared" si="6"/>
        <v>0</v>
      </c>
      <c r="M33">
        <f t="shared" si="7"/>
        <v>0</v>
      </c>
    </row>
    <row r="34" spans="1:13" x14ac:dyDescent="0.35">
      <c r="A34" s="1" t="s">
        <v>34</v>
      </c>
      <c r="B34">
        <v>26.682687966921499</v>
      </c>
      <c r="C34">
        <v>154.63534888592289</v>
      </c>
      <c r="D34">
        <f t="shared" si="0"/>
        <v>0</v>
      </c>
      <c r="E34">
        <f t="shared" si="1"/>
        <v>127.9526609190014</v>
      </c>
      <c r="F34">
        <v>147.71494055355529</v>
      </c>
      <c r="G34">
        <v>26.539471447352881</v>
      </c>
      <c r="H34">
        <f t="shared" si="2"/>
        <v>1</v>
      </c>
      <c r="I34">
        <f t="shared" si="3"/>
        <v>121.17546910620241</v>
      </c>
      <c r="J34">
        <f t="shared" si="4"/>
        <v>53.22215941427438</v>
      </c>
      <c r="K34">
        <f t="shared" si="5"/>
        <v>302.35028943947816</v>
      </c>
      <c r="L34">
        <f t="shared" si="6"/>
        <v>1</v>
      </c>
      <c r="M34">
        <f t="shared" si="7"/>
        <v>0</v>
      </c>
    </row>
    <row r="35" spans="1:13" x14ac:dyDescent="0.35">
      <c r="A35" s="1" t="s">
        <v>35</v>
      </c>
      <c r="B35">
        <v>137.84083598923829</v>
      </c>
      <c r="C35">
        <v>56.413228844925612</v>
      </c>
      <c r="D35">
        <f t="shared" si="0"/>
        <v>1</v>
      </c>
      <c r="E35">
        <f t="shared" si="1"/>
        <v>-81.427607144312674</v>
      </c>
      <c r="F35">
        <v>112.6728577928649</v>
      </c>
      <c r="G35">
        <v>148.80677816823999</v>
      </c>
      <c r="H35">
        <f t="shared" si="2"/>
        <v>0</v>
      </c>
      <c r="I35">
        <f t="shared" si="3"/>
        <v>-36.133920375375084</v>
      </c>
      <c r="J35">
        <f t="shared" si="4"/>
        <v>286.6476141574783</v>
      </c>
      <c r="K35">
        <f t="shared" si="5"/>
        <v>169.08608663779052</v>
      </c>
      <c r="L35">
        <f t="shared" si="6"/>
        <v>0</v>
      </c>
      <c r="M35">
        <f t="shared" si="7"/>
        <v>0</v>
      </c>
    </row>
    <row r="36" spans="1:13" x14ac:dyDescent="0.35">
      <c r="A36" s="1" t="s">
        <v>36</v>
      </c>
      <c r="B36">
        <v>330.62149841680599</v>
      </c>
      <c r="C36">
        <v>256.30944277265559</v>
      </c>
      <c r="D36">
        <f t="shared" si="0"/>
        <v>1</v>
      </c>
      <c r="E36">
        <f t="shared" si="1"/>
        <v>-74.312055644150405</v>
      </c>
      <c r="F36">
        <v>34.76502885802649</v>
      </c>
      <c r="G36">
        <v>30.8361520631288</v>
      </c>
      <c r="H36">
        <f t="shared" si="2"/>
        <v>1</v>
      </c>
      <c r="I36">
        <f t="shared" si="3"/>
        <v>3.9288767948976897</v>
      </c>
      <c r="J36">
        <f t="shared" si="4"/>
        <v>361.45765047993478</v>
      </c>
      <c r="K36">
        <f t="shared" si="5"/>
        <v>291.07447163068207</v>
      </c>
      <c r="L36">
        <f t="shared" si="6"/>
        <v>0</v>
      </c>
      <c r="M36">
        <f t="shared" si="7"/>
        <v>0</v>
      </c>
    </row>
    <row r="37" spans="1:13" x14ac:dyDescent="0.35">
      <c r="A37" s="1" t="s">
        <v>37</v>
      </c>
      <c r="B37">
        <v>232.7856279869078</v>
      </c>
      <c r="C37">
        <v>233.41461731601891</v>
      </c>
      <c r="D37">
        <f t="shared" si="0"/>
        <v>0</v>
      </c>
      <c r="E37">
        <f t="shared" si="1"/>
        <v>0.62898932911110705</v>
      </c>
      <c r="F37">
        <v>239.38959359333521</v>
      </c>
      <c r="G37">
        <v>241.815691168466</v>
      </c>
      <c r="H37">
        <f t="shared" si="2"/>
        <v>0</v>
      </c>
      <c r="I37">
        <f t="shared" si="3"/>
        <v>-2.4260975751307967</v>
      </c>
      <c r="J37">
        <f t="shared" si="4"/>
        <v>474.6013191553738</v>
      </c>
      <c r="K37">
        <f t="shared" si="5"/>
        <v>472.80421090935408</v>
      </c>
      <c r="L37">
        <f t="shared" si="6"/>
        <v>0</v>
      </c>
      <c r="M37">
        <f t="shared" si="7"/>
        <v>0</v>
      </c>
    </row>
    <row r="38" spans="1:13" x14ac:dyDescent="0.35">
      <c r="A38" s="1" t="s">
        <v>38</v>
      </c>
      <c r="B38">
        <v>212.06151866811621</v>
      </c>
      <c r="C38">
        <v>215.92131766672821</v>
      </c>
      <c r="D38">
        <f t="shared" si="0"/>
        <v>0</v>
      </c>
      <c r="E38">
        <f t="shared" si="1"/>
        <v>3.8597989986120069</v>
      </c>
      <c r="F38">
        <v>205.47004703534611</v>
      </c>
      <c r="G38">
        <v>206.26795430078749</v>
      </c>
      <c r="H38">
        <f t="shared" si="2"/>
        <v>0</v>
      </c>
      <c r="I38">
        <f t="shared" si="3"/>
        <v>-0.79790726544138124</v>
      </c>
      <c r="J38">
        <f t="shared" si="4"/>
        <v>418.3294729689037</v>
      </c>
      <c r="K38">
        <f t="shared" si="5"/>
        <v>421.39136470207433</v>
      </c>
      <c r="L38">
        <f t="shared" si="6"/>
        <v>0</v>
      </c>
      <c r="M38">
        <f t="shared" si="7"/>
        <v>0</v>
      </c>
    </row>
    <row r="39" spans="1:13" x14ac:dyDescent="0.35">
      <c r="A39" s="1" t="s">
        <v>39</v>
      </c>
      <c r="B39">
        <v>11.188820546220409</v>
      </c>
      <c r="C39">
        <v>19.679543713166289</v>
      </c>
      <c r="D39">
        <f t="shared" si="0"/>
        <v>0</v>
      </c>
      <c r="E39">
        <f t="shared" si="1"/>
        <v>8.4907231669458803</v>
      </c>
      <c r="F39">
        <v>20.173183620627139</v>
      </c>
      <c r="G39">
        <v>11.40673529815083</v>
      </c>
      <c r="H39">
        <f t="shared" si="2"/>
        <v>1</v>
      </c>
      <c r="I39">
        <f t="shared" si="3"/>
        <v>8.7664483224763092</v>
      </c>
      <c r="J39">
        <f t="shared" si="4"/>
        <v>22.595555844371241</v>
      </c>
      <c r="K39">
        <f t="shared" si="5"/>
        <v>39.852727333793425</v>
      </c>
      <c r="L39">
        <f t="shared" si="6"/>
        <v>0</v>
      </c>
      <c r="M39">
        <f t="shared" si="7"/>
        <v>0</v>
      </c>
    </row>
    <row r="40" spans="1:13" x14ac:dyDescent="0.35">
      <c r="A40" s="1" t="s">
        <v>40</v>
      </c>
      <c r="B40">
        <v>59.883262299039338</v>
      </c>
      <c r="C40">
        <v>323.60554981127291</v>
      </c>
      <c r="D40">
        <f t="shared" si="0"/>
        <v>0</v>
      </c>
      <c r="E40">
        <f t="shared" si="1"/>
        <v>263.72228751223355</v>
      </c>
      <c r="F40">
        <v>147.3434509988013</v>
      </c>
      <c r="G40">
        <v>31.442000791085821</v>
      </c>
      <c r="H40">
        <f t="shared" si="2"/>
        <v>1</v>
      </c>
      <c r="I40">
        <f t="shared" si="3"/>
        <v>115.90145020771548</v>
      </c>
      <c r="J40">
        <f t="shared" si="4"/>
        <v>91.325263090125162</v>
      </c>
      <c r="K40">
        <f t="shared" si="5"/>
        <v>470.94900081007421</v>
      </c>
      <c r="L40">
        <f t="shared" si="6"/>
        <v>1</v>
      </c>
      <c r="M40">
        <f t="shared" si="7"/>
        <v>0</v>
      </c>
    </row>
    <row r="41" spans="1:13" x14ac:dyDescent="0.35">
      <c r="A41" s="1" t="s">
        <v>41</v>
      </c>
      <c r="B41">
        <v>155.50100334608189</v>
      </c>
      <c r="C41">
        <v>185.33918848721831</v>
      </c>
      <c r="D41">
        <f t="shared" si="0"/>
        <v>0</v>
      </c>
      <c r="E41">
        <f t="shared" si="1"/>
        <v>29.838185141136421</v>
      </c>
      <c r="F41">
        <v>165.13029214121991</v>
      </c>
      <c r="G41">
        <v>128.88338313612681</v>
      </c>
      <c r="H41">
        <f t="shared" si="2"/>
        <v>1</v>
      </c>
      <c r="I41">
        <f t="shared" si="3"/>
        <v>36.246909005093102</v>
      </c>
      <c r="J41">
        <f t="shared" si="4"/>
        <v>284.3843864822087</v>
      </c>
      <c r="K41">
        <f t="shared" si="5"/>
        <v>350.46948062843819</v>
      </c>
      <c r="L41">
        <f t="shared" si="6"/>
        <v>0</v>
      </c>
      <c r="M41">
        <f t="shared" si="7"/>
        <v>0</v>
      </c>
    </row>
    <row r="42" spans="1:13" x14ac:dyDescent="0.35">
      <c r="A42" s="1" t="s">
        <v>42</v>
      </c>
      <c r="B42">
        <v>128.13766352887509</v>
      </c>
      <c r="C42">
        <v>190.83111280060561</v>
      </c>
      <c r="D42">
        <f t="shared" si="0"/>
        <v>0</v>
      </c>
      <c r="E42">
        <f t="shared" si="1"/>
        <v>62.693449271730515</v>
      </c>
      <c r="F42">
        <v>46.155085647721478</v>
      </c>
      <c r="G42">
        <v>38.28349162780232</v>
      </c>
      <c r="H42">
        <f t="shared" si="2"/>
        <v>1</v>
      </c>
      <c r="I42">
        <f t="shared" si="3"/>
        <v>7.8715940199191579</v>
      </c>
      <c r="J42">
        <f t="shared" si="4"/>
        <v>166.4211551566774</v>
      </c>
      <c r="K42">
        <f t="shared" si="5"/>
        <v>236.98619844832709</v>
      </c>
      <c r="L42">
        <f t="shared" si="6"/>
        <v>0</v>
      </c>
      <c r="M42">
        <f t="shared" si="7"/>
        <v>0</v>
      </c>
    </row>
    <row r="43" spans="1:13" x14ac:dyDescent="0.35">
      <c r="A43" s="1" t="s">
        <v>43</v>
      </c>
      <c r="B43">
        <v>178.90078555982689</v>
      </c>
      <c r="C43">
        <v>163.44866720195361</v>
      </c>
      <c r="D43">
        <f t="shared" si="0"/>
        <v>1</v>
      </c>
      <c r="E43">
        <f t="shared" si="1"/>
        <v>-15.452118357873275</v>
      </c>
      <c r="F43">
        <v>173.2694286673657</v>
      </c>
      <c r="G43">
        <v>183.66286024333809</v>
      </c>
      <c r="H43">
        <f t="shared" si="2"/>
        <v>0</v>
      </c>
      <c r="I43">
        <f t="shared" si="3"/>
        <v>-10.393431575972386</v>
      </c>
      <c r="J43">
        <f t="shared" si="4"/>
        <v>362.56364580316495</v>
      </c>
      <c r="K43">
        <f t="shared" si="5"/>
        <v>336.71809586931931</v>
      </c>
      <c r="L43">
        <f t="shared" si="6"/>
        <v>0</v>
      </c>
      <c r="M43">
        <f t="shared" si="7"/>
        <v>0</v>
      </c>
    </row>
    <row r="44" spans="1:13" x14ac:dyDescent="0.35">
      <c r="A44" s="1" t="s">
        <v>44</v>
      </c>
      <c r="B44">
        <v>122.7598879601382</v>
      </c>
      <c r="C44">
        <v>119.4421409050001</v>
      </c>
      <c r="D44">
        <f t="shared" si="0"/>
        <v>1</v>
      </c>
      <c r="E44">
        <f t="shared" si="1"/>
        <v>-3.3177470551380992</v>
      </c>
      <c r="F44">
        <v>136.29733460669451</v>
      </c>
      <c r="G44">
        <v>123.9018010760507</v>
      </c>
      <c r="H44">
        <f t="shared" si="2"/>
        <v>1</v>
      </c>
      <c r="I44">
        <f t="shared" si="3"/>
        <v>12.395533530643803</v>
      </c>
      <c r="J44">
        <f t="shared" si="4"/>
        <v>246.6616890361889</v>
      </c>
      <c r="K44">
        <f t="shared" si="5"/>
        <v>255.73947551169459</v>
      </c>
      <c r="L44">
        <f t="shared" si="6"/>
        <v>0</v>
      </c>
      <c r="M44">
        <f t="shared" si="7"/>
        <v>0</v>
      </c>
    </row>
    <row r="45" spans="1:13" x14ac:dyDescent="0.35">
      <c r="A45" s="1" t="s">
        <v>45</v>
      </c>
      <c r="B45">
        <v>44.083869594715217</v>
      </c>
      <c r="C45">
        <v>19.40554708993664</v>
      </c>
      <c r="D45">
        <f t="shared" si="0"/>
        <v>1</v>
      </c>
      <c r="E45">
        <f t="shared" si="1"/>
        <v>-24.678322504778578</v>
      </c>
      <c r="F45">
        <v>19.287737875862859</v>
      </c>
      <c r="G45">
        <v>41.860441500588088</v>
      </c>
      <c r="H45">
        <f t="shared" si="2"/>
        <v>0</v>
      </c>
      <c r="I45">
        <f t="shared" si="3"/>
        <v>-22.572703624725229</v>
      </c>
      <c r="J45">
        <f t="shared" si="4"/>
        <v>85.944311095303306</v>
      </c>
      <c r="K45">
        <f t="shared" si="5"/>
        <v>38.693284965799499</v>
      </c>
      <c r="L45">
        <f t="shared" si="6"/>
        <v>0</v>
      </c>
      <c r="M45">
        <f t="shared" si="7"/>
        <v>1</v>
      </c>
    </row>
    <row r="46" spans="1:13" x14ac:dyDescent="0.35">
      <c r="A46" s="1" t="s">
        <v>46</v>
      </c>
      <c r="B46">
        <v>251.30595490210311</v>
      </c>
      <c r="C46">
        <v>292.1327424604529</v>
      </c>
      <c r="D46">
        <f t="shared" si="0"/>
        <v>0</v>
      </c>
      <c r="E46">
        <f t="shared" si="1"/>
        <v>40.826787558349793</v>
      </c>
      <c r="F46">
        <v>336.95458980460671</v>
      </c>
      <c r="G46">
        <v>269.42990473035502</v>
      </c>
      <c r="H46">
        <f t="shared" si="2"/>
        <v>1</v>
      </c>
      <c r="I46">
        <f t="shared" si="3"/>
        <v>67.524685074251693</v>
      </c>
      <c r="J46">
        <f t="shared" si="4"/>
        <v>520.73585963245819</v>
      </c>
      <c r="K46">
        <f t="shared" si="5"/>
        <v>629.08733226505956</v>
      </c>
      <c r="L46">
        <f t="shared" si="6"/>
        <v>0</v>
      </c>
      <c r="M46">
        <f t="shared" si="7"/>
        <v>0</v>
      </c>
    </row>
    <row r="47" spans="1:13" x14ac:dyDescent="0.35">
      <c r="A47" s="1" t="s">
        <v>47</v>
      </c>
      <c r="B47">
        <v>161.63139269888799</v>
      </c>
      <c r="C47">
        <v>237.1098954813815</v>
      </c>
      <c r="D47">
        <f t="shared" si="0"/>
        <v>0</v>
      </c>
      <c r="E47">
        <f t="shared" si="1"/>
        <v>75.478502782493507</v>
      </c>
      <c r="F47">
        <v>238.11320331705841</v>
      </c>
      <c r="G47">
        <v>155.95264823284819</v>
      </c>
      <c r="H47">
        <f t="shared" si="2"/>
        <v>1</v>
      </c>
      <c r="I47">
        <f t="shared" si="3"/>
        <v>82.160555084210216</v>
      </c>
      <c r="J47">
        <f t="shared" si="4"/>
        <v>317.58404093173618</v>
      </c>
      <c r="K47">
        <f t="shared" si="5"/>
        <v>475.22309879843988</v>
      </c>
      <c r="L47">
        <f t="shared" si="6"/>
        <v>0</v>
      </c>
      <c r="M47">
        <f t="shared" si="7"/>
        <v>0</v>
      </c>
    </row>
    <row r="48" spans="1:13" x14ac:dyDescent="0.35">
      <c r="A48" s="1" t="s">
        <v>48</v>
      </c>
      <c r="B48">
        <v>234.47277431878749</v>
      </c>
      <c r="C48">
        <v>212.00659700287849</v>
      </c>
      <c r="D48">
        <f t="shared" si="0"/>
        <v>1</v>
      </c>
      <c r="E48">
        <f t="shared" si="1"/>
        <v>-22.466177315908993</v>
      </c>
      <c r="F48">
        <v>91.622669033033901</v>
      </c>
      <c r="G48">
        <v>73.408668649834041</v>
      </c>
      <c r="H48">
        <f t="shared" si="2"/>
        <v>1</v>
      </c>
      <c r="I48">
        <f t="shared" si="3"/>
        <v>18.21400038319986</v>
      </c>
      <c r="J48">
        <f t="shared" si="4"/>
        <v>307.88144296862151</v>
      </c>
      <c r="K48">
        <f t="shared" si="5"/>
        <v>303.62926603591239</v>
      </c>
      <c r="L48">
        <f t="shared" si="6"/>
        <v>0</v>
      </c>
      <c r="M48">
        <f t="shared" si="7"/>
        <v>0</v>
      </c>
    </row>
    <row r="49" spans="1:13" x14ac:dyDescent="0.35">
      <c r="A49" s="1" t="s">
        <v>49</v>
      </c>
      <c r="B49">
        <v>243.29445280436391</v>
      </c>
      <c r="C49">
        <v>51.093314216129073</v>
      </c>
      <c r="D49">
        <f t="shared" si="0"/>
        <v>1</v>
      </c>
      <c r="E49">
        <f t="shared" si="1"/>
        <v>-192.20113858823484</v>
      </c>
      <c r="F49">
        <v>51.347366753011073</v>
      </c>
      <c r="G49">
        <v>241.96614431190449</v>
      </c>
      <c r="H49">
        <f t="shared" si="2"/>
        <v>0</v>
      </c>
      <c r="I49">
        <f t="shared" si="3"/>
        <v>-190.61877755889341</v>
      </c>
      <c r="J49">
        <f t="shared" si="4"/>
        <v>485.2605971162684</v>
      </c>
      <c r="K49">
        <f t="shared" si="5"/>
        <v>102.44068096914015</v>
      </c>
      <c r="L49">
        <f t="shared" si="6"/>
        <v>0</v>
      </c>
      <c r="M49">
        <f t="shared" si="7"/>
        <v>1</v>
      </c>
    </row>
    <row r="50" spans="1:13" x14ac:dyDescent="0.35">
      <c r="A50" s="1" t="s">
        <v>50</v>
      </c>
      <c r="B50">
        <v>29.815507623922191</v>
      </c>
      <c r="C50">
        <v>35.876109539666203</v>
      </c>
      <c r="D50">
        <f t="shared" si="0"/>
        <v>0</v>
      </c>
      <c r="E50">
        <f t="shared" si="1"/>
        <v>6.0606019157440123</v>
      </c>
      <c r="F50">
        <v>30.533991805419738</v>
      </c>
      <c r="G50">
        <v>45.626277302618909</v>
      </c>
      <c r="H50">
        <f t="shared" si="2"/>
        <v>0</v>
      </c>
      <c r="I50">
        <f t="shared" si="3"/>
        <v>-15.092285497199171</v>
      </c>
      <c r="J50">
        <f t="shared" si="4"/>
        <v>75.441784926541104</v>
      </c>
      <c r="K50">
        <f t="shared" si="5"/>
        <v>66.410101345085934</v>
      </c>
      <c r="L50">
        <f t="shared" si="6"/>
        <v>0</v>
      </c>
      <c r="M50">
        <f t="shared" si="7"/>
        <v>0</v>
      </c>
    </row>
    <row r="51" spans="1:13" x14ac:dyDescent="0.35">
      <c r="A51" s="1" t="s">
        <v>51</v>
      </c>
      <c r="B51">
        <v>19.73530868341166</v>
      </c>
      <c r="C51">
        <v>38.758938613186537</v>
      </c>
      <c r="D51">
        <f t="shared" si="0"/>
        <v>0</v>
      </c>
      <c r="E51">
        <f t="shared" si="1"/>
        <v>19.023629929774877</v>
      </c>
      <c r="F51">
        <v>26.759310345358809</v>
      </c>
      <c r="G51">
        <v>21.11827854057152</v>
      </c>
      <c r="H51">
        <f t="shared" si="2"/>
        <v>1</v>
      </c>
      <c r="I51">
        <f t="shared" si="3"/>
        <v>5.6410318047872892</v>
      </c>
      <c r="J51">
        <f t="shared" si="4"/>
        <v>40.853587223983183</v>
      </c>
      <c r="K51">
        <f t="shared" si="5"/>
        <v>65.518248958545342</v>
      </c>
      <c r="L51">
        <f t="shared" si="6"/>
        <v>0</v>
      </c>
      <c r="M51">
        <f t="shared" si="7"/>
        <v>0</v>
      </c>
    </row>
    <row r="52" spans="1:13" x14ac:dyDescent="0.35">
      <c r="A52" s="1" t="s">
        <v>52</v>
      </c>
      <c r="B52">
        <v>140.85846395225209</v>
      </c>
      <c r="C52">
        <v>143.3201152644782</v>
      </c>
      <c r="D52">
        <f t="shared" si="0"/>
        <v>0</v>
      </c>
      <c r="E52">
        <f t="shared" si="1"/>
        <v>2.4616513122261097</v>
      </c>
      <c r="F52">
        <v>45.452969729427821</v>
      </c>
      <c r="G52">
        <v>37.172902121346951</v>
      </c>
      <c r="H52">
        <f t="shared" si="2"/>
        <v>1</v>
      </c>
      <c r="I52">
        <f t="shared" si="3"/>
        <v>8.2800676080808699</v>
      </c>
      <c r="J52">
        <f t="shared" si="4"/>
        <v>178.03136607359903</v>
      </c>
      <c r="K52">
        <f t="shared" si="5"/>
        <v>188.77308499390602</v>
      </c>
      <c r="L52">
        <f t="shared" si="6"/>
        <v>0</v>
      </c>
      <c r="M52">
        <f t="shared" si="7"/>
        <v>0</v>
      </c>
    </row>
    <row r="53" spans="1:13" x14ac:dyDescent="0.35">
      <c r="A53" s="1" t="s">
        <v>53</v>
      </c>
      <c r="B53">
        <v>370.84009385473252</v>
      </c>
      <c r="C53">
        <v>324.76725252293431</v>
      </c>
      <c r="D53">
        <f t="shared" si="0"/>
        <v>1</v>
      </c>
      <c r="E53">
        <f t="shared" si="1"/>
        <v>-46.072841331798202</v>
      </c>
      <c r="F53">
        <v>324.52621971896781</v>
      </c>
      <c r="G53">
        <v>370.99263449945659</v>
      </c>
      <c r="H53">
        <f t="shared" si="2"/>
        <v>0</v>
      </c>
      <c r="I53">
        <f t="shared" si="3"/>
        <v>-46.466414780488776</v>
      </c>
      <c r="J53">
        <f t="shared" si="4"/>
        <v>741.83272835418916</v>
      </c>
      <c r="K53">
        <f t="shared" si="5"/>
        <v>649.29347224190212</v>
      </c>
      <c r="L53">
        <f t="shared" si="6"/>
        <v>0</v>
      </c>
      <c r="M53">
        <f t="shared" si="7"/>
        <v>0</v>
      </c>
    </row>
    <row r="54" spans="1:13" x14ac:dyDescent="0.35">
      <c r="A54" s="1" t="s">
        <v>54</v>
      </c>
      <c r="B54">
        <v>69.735488786656063</v>
      </c>
      <c r="C54">
        <v>61.630017565647783</v>
      </c>
      <c r="D54">
        <f t="shared" si="0"/>
        <v>1</v>
      </c>
      <c r="E54">
        <f t="shared" si="1"/>
        <v>-8.1054712210082798</v>
      </c>
      <c r="F54">
        <v>111.9491631677629</v>
      </c>
      <c r="G54">
        <v>49.489555632753557</v>
      </c>
      <c r="H54">
        <f t="shared" si="2"/>
        <v>1</v>
      </c>
      <c r="I54">
        <f t="shared" si="3"/>
        <v>62.459607535009347</v>
      </c>
      <c r="J54">
        <f t="shared" si="4"/>
        <v>119.22504441940961</v>
      </c>
      <c r="K54">
        <f t="shared" si="5"/>
        <v>173.57918073341068</v>
      </c>
      <c r="L54">
        <f t="shared" si="6"/>
        <v>0</v>
      </c>
      <c r="M54">
        <f t="shared" si="7"/>
        <v>0</v>
      </c>
    </row>
    <row r="55" spans="1:13" x14ac:dyDescent="0.35">
      <c r="A55" s="1" t="s">
        <v>55</v>
      </c>
      <c r="B55">
        <v>211.4138049751177</v>
      </c>
      <c r="C55">
        <v>313.35330086494531</v>
      </c>
      <c r="D55">
        <f t="shared" si="0"/>
        <v>0</v>
      </c>
      <c r="E55">
        <f t="shared" si="1"/>
        <v>101.93949588982761</v>
      </c>
      <c r="F55">
        <v>312.83581317583503</v>
      </c>
      <c r="G55">
        <v>212.67493334060131</v>
      </c>
      <c r="H55">
        <f t="shared" si="2"/>
        <v>1</v>
      </c>
      <c r="I55">
        <f t="shared" si="3"/>
        <v>100.16087983523371</v>
      </c>
      <c r="J55">
        <f t="shared" si="4"/>
        <v>424.08873831571901</v>
      </c>
      <c r="K55">
        <f t="shared" si="5"/>
        <v>626.1891140407804</v>
      </c>
      <c r="L55">
        <f t="shared" si="6"/>
        <v>0</v>
      </c>
      <c r="M55">
        <f t="shared" si="7"/>
        <v>0</v>
      </c>
    </row>
    <row r="56" spans="1:13" x14ac:dyDescent="0.35">
      <c r="A56" s="1" t="s">
        <v>56</v>
      </c>
      <c r="B56">
        <v>147.9598940559562</v>
      </c>
      <c r="C56">
        <v>151.12230080456749</v>
      </c>
      <c r="D56">
        <f t="shared" si="0"/>
        <v>0</v>
      </c>
      <c r="E56">
        <f t="shared" si="1"/>
        <v>3.1624067486112892</v>
      </c>
      <c r="F56">
        <v>146.96140167410201</v>
      </c>
      <c r="G56">
        <v>114.56541688592721</v>
      </c>
      <c r="H56">
        <f t="shared" si="2"/>
        <v>1</v>
      </c>
      <c r="I56">
        <f t="shared" si="3"/>
        <v>32.3959847881748</v>
      </c>
      <c r="J56">
        <f t="shared" si="4"/>
        <v>262.52531094188339</v>
      </c>
      <c r="K56">
        <f t="shared" si="5"/>
        <v>298.08370247866947</v>
      </c>
      <c r="L56">
        <f t="shared" si="6"/>
        <v>0</v>
      </c>
      <c r="M56">
        <f t="shared" si="7"/>
        <v>0</v>
      </c>
    </row>
    <row r="57" spans="1:13" x14ac:dyDescent="0.35">
      <c r="A57" s="1" t="s">
        <v>57</v>
      </c>
      <c r="B57">
        <v>8.3605845359306201</v>
      </c>
      <c r="C57">
        <v>25.060251897567181</v>
      </c>
      <c r="D57">
        <f t="shared" si="0"/>
        <v>0</v>
      </c>
      <c r="E57">
        <f t="shared" si="1"/>
        <v>16.699667361636561</v>
      </c>
      <c r="F57">
        <v>27.087726966970919</v>
      </c>
      <c r="G57">
        <v>9.6233924992827227</v>
      </c>
      <c r="H57">
        <f t="shared" si="2"/>
        <v>1</v>
      </c>
      <c r="I57">
        <f t="shared" si="3"/>
        <v>17.464334467688197</v>
      </c>
      <c r="J57">
        <f t="shared" si="4"/>
        <v>17.983977035213343</v>
      </c>
      <c r="K57">
        <f t="shared" si="5"/>
        <v>52.147978864538103</v>
      </c>
      <c r="L57">
        <f t="shared" si="6"/>
        <v>1</v>
      </c>
      <c r="M57">
        <f t="shared" si="7"/>
        <v>0</v>
      </c>
    </row>
    <row r="58" spans="1:13" x14ac:dyDescent="0.35">
      <c r="A58" s="1" t="s">
        <v>58</v>
      </c>
      <c r="B58">
        <v>74.338247065808758</v>
      </c>
      <c r="C58">
        <v>46.425266274380903</v>
      </c>
      <c r="D58">
        <f t="shared" si="0"/>
        <v>1</v>
      </c>
      <c r="E58">
        <f t="shared" si="1"/>
        <v>-27.912980791427856</v>
      </c>
      <c r="F58">
        <v>29.046339713223251</v>
      </c>
      <c r="G58">
        <v>31.206102285474699</v>
      </c>
      <c r="H58">
        <f t="shared" si="2"/>
        <v>0</v>
      </c>
      <c r="I58">
        <f t="shared" si="3"/>
        <v>-2.1597625722514486</v>
      </c>
      <c r="J58">
        <f t="shared" si="4"/>
        <v>105.54434935128346</v>
      </c>
      <c r="K58">
        <f t="shared" si="5"/>
        <v>75.47160598760415</v>
      </c>
      <c r="L58">
        <f t="shared" si="6"/>
        <v>0</v>
      </c>
      <c r="M58">
        <f t="shared" si="7"/>
        <v>0</v>
      </c>
    </row>
    <row r="59" spans="1:13" x14ac:dyDescent="0.35">
      <c r="A59" s="1" t="s">
        <v>59</v>
      </c>
      <c r="B59">
        <v>210.4456948142406</v>
      </c>
      <c r="C59">
        <v>246.15925531176859</v>
      </c>
      <c r="D59">
        <f t="shared" si="0"/>
        <v>0</v>
      </c>
      <c r="E59">
        <f t="shared" si="1"/>
        <v>35.713560497527993</v>
      </c>
      <c r="F59">
        <v>76.780376594616314</v>
      </c>
      <c r="G59">
        <v>73.536229584695334</v>
      </c>
      <c r="H59">
        <f t="shared" si="2"/>
        <v>1</v>
      </c>
      <c r="I59">
        <f t="shared" si="3"/>
        <v>3.2441470099209795</v>
      </c>
      <c r="J59">
        <f t="shared" si="4"/>
        <v>283.98192439893592</v>
      </c>
      <c r="K59">
        <f t="shared" si="5"/>
        <v>322.93963190638488</v>
      </c>
      <c r="L59">
        <f t="shared" si="6"/>
        <v>0</v>
      </c>
      <c r="M59">
        <f t="shared" si="7"/>
        <v>0</v>
      </c>
    </row>
    <row r="60" spans="1:13" x14ac:dyDescent="0.35">
      <c r="A60" s="1" t="s">
        <v>60</v>
      </c>
      <c r="B60">
        <v>3.2657460704304619</v>
      </c>
      <c r="C60">
        <v>3.960607789144686</v>
      </c>
      <c r="D60">
        <f t="shared" si="0"/>
        <v>0</v>
      </c>
      <c r="E60">
        <f t="shared" si="1"/>
        <v>0.69486171871422409</v>
      </c>
      <c r="F60">
        <v>43.269615647119451</v>
      </c>
      <c r="G60">
        <v>39.676848858112322</v>
      </c>
      <c r="H60">
        <f t="shared" si="2"/>
        <v>1</v>
      </c>
      <c r="I60">
        <f t="shared" si="3"/>
        <v>3.5927667890071291</v>
      </c>
      <c r="J60">
        <f t="shared" si="4"/>
        <v>42.942594928542782</v>
      </c>
      <c r="K60">
        <f t="shared" si="5"/>
        <v>47.23022343626414</v>
      </c>
      <c r="L60">
        <f t="shared" si="6"/>
        <v>0</v>
      </c>
      <c r="M60">
        <f t="shared" si="7"/>
        <v>0</v>
      </c>
    </row>
    <row r="61" spans="1:13" x14ac:dyDescent="0.35">
      <c r="A61" s="1" t="s">
        <v>61</v>
      </c>
      <c r="B61">
        <v>67.873253906448781</v>
      </c>
      <c r="C61">
        <v>67.210801491639913</v>
      </c>
      <c r="D61">
        <f t="shared" si="0"/>
        <v>1</v>
      </c>
      <c r="E61">
        <f t="shared" si="1"/>
        <v>-0.66245241480886818</v>
      </c>
      <c r="F61">
        <v>72.699047424843016</v>
      </c>
      <c r="G61">
        <v>69.364063324484334</v>
      </c>
      <c r="H61">
        <f t="shared" si="2"/>
        <v>1</v>
      </c>
      <c r="I61">
        <f t="shared" si="3"/>
        <v>3.3349841003586818</v>
      </c>
      <c r="J61">
        <f t="shared" si="4"/>
        <v>137.23731723093312</v>
      </c>
      <c r="K61">
        <f t="shared" si="5"/>
        <v>139.90984891648293</v>
      </c>
      <c r="L61">
        <f t="shared" si="6"/>
        <v>0</v>
      </c>
      <c r="M61">
        <f t="shared" si="7"/>
        <v>0</v>
      </c>
    </row>
    <row r="62" spans="1:13" x14ac:dyDescent="0.35">
      <c r="A62" s="1" t="s">
        <v>62</v>
      </c>
      <c r="B62">
        <v>11.1175743973028</v>
      </c>
      <c r="C62">
        <v>69.761030337563795</v>
      </c>
      <c r="D62">
        <f t="shared" si="0"/>
        <v>0</v>
      </c>
      <c r="E62">
        <f t="shared" si="1"/>
        <v>58.643455940260992</v>
      </c>
      <c r="F62">
        <v>65.024450471892152</v>
      </c>
      <c r="G62">
        <v>11.42282791509361</v>
      </c>
      <c r="H62">
        <f t="shared" si="2"/>
        <v>1</v>
      </c>
      <c r="I62">
        <f t="shared" si="3"/>
        <v>53.601622556798546</v>
      </c>
      <c r="J62">
        <f t="shared" si="4"/>
        <v>22.540402312396409</v>
      </c>
      <c r="K62">
        <f t="shared" si="5"/>
        <v>134.78548080945595</v>
      </c>
      <c r="L62">
        <f t="shared" si="6"/>
        <v>1</v>
      </c>
      <c r="M62">
        <f t="shared" si="7"/>
        <v>0</v>
      </c>
    </row>
    <row r="63" spans="1:13" x14ac:dyDescent="0.35">
      <c r="A63" s="1" t="s">
        <v>63</v>
      </c>
      <c r="B63">
        <v>239.91438832189991</v>
      </c>
      <c r="C63">
        <v>188.63626675272789</v>
      </c>
      <c r="D63">
        <f t="shared" si="0"/>
        <v>1</v>
      </c>
      <c r="E63">
        <f t="shared" si="1"/>
        <v>-51.278121569172015</v>
      </c>
      <c r="F63">
        <v>206.99353674978511</v>
      </c>
      <c r="G63">
        <v>259.13562483201753</v>
      </c>
      <c r="H63">
        <f t="shared" si="2"/>
        <v>0</v>
      </c>
      <c r="I63">
        <f t="shared" si="3"/>
        <v>-52.142088082232419</v>
      </c>
      <c r="J63">
        <f t="shared" si="4"/>
        <v>499.05001315391746</v>
      </c>
      <c r="K63">
        <f t="shared" si="5"/>
        <v>395.62980350251303</v>
      </c>
      <c r="L63">
        <f t="shared" si="6"/>
        <v>0</v>
      </c>
      <c r="M63">
        <f t="shared" si="7"/>
        <v>0</v>
      </c>
    </row>
    <row r="64" spans="1:13" x14ac:dyDescent="0.35">
      <c r="A64" s="1" t="s">
        <v>64</v>
      </c>
      <c r="B64">
        <v>329.20910616140583</v>
      </c>
      <c r="C64">
        <v>256.73357542123517</v>
      </c>
      <c r="D64">
        <f t="shared" si="0"/>
        <v>1</v>
      </c>
      <c r="E64">
        <f t="shared" si="1"/>
        <v>-72.475530740170655</v>
      </c>
      <c r="F64">
        <v>52.464407962489062</v>
      </c>
      <c r="G64">
        <v>72.361015058867991</v>
      </c>
      <c r="H64">
        <f t="shared" si="2"/>
        <v>0</v>
      </c>
      <c r="I64">
        <f t="shared" si="3"/>
        <v>-19.896607096378929</v>
      </c>
      <c r="J64">
        <f t="shared" si="4"/>
        <v>401.57012122027379</v>
      </c>
      <c r="K64">
        <f t="shared" si="5"/>
        <v>309.19798338372425</v>
      </c>
      <c r="L64">
        <f t="shared" si="6"/>
        <v>0</v>
      </c>
      <c r="M64">
        <f t="shared" si="7"/>
        <v>0</v>
      </c>
    </row>
    <row r="65" spans="1:13" x14ac:dyDescent="0.35">
      <c r="A65" s="1" t="s">
        <v>65</v>
      </c>
      <c r="B65">
        <v>35.509588700255613</v>
      </c>
      <c r="C65">
        <v>47.165798347831512</v>
      </c>
      <c r="D65">
        <f t="shared" si="0"/>
        <v>0</v>
      </c>
      <c r="E65">
        <f t="shared" si="1"/>
        <v>11.656209647575899</v>
      </c>
      <c r="F65">
        <v>50.727051108608457</v>
      </c>
      <c r="G65">
        <v>35.463032124820373</v>
      </c>
      <c r="H65">
        <f t="shared" si="2"/>
        <v>1</v>
      </c>
      <c r="I65">
        <f t="shared" si="3"/>
        <v>15.264018983788084</v>
      </c>
      <c r="J65">
        <f t="shared" si="4"/>
        <v>70.972620825075978</v>
      </c>
      <c r="K65">
        <f t="shared" si="5"/>
        <v>97.892849456439961</v>
      </c>
      <c r="L65">
        <f t="shared" si="6"/>
        <v>0</v>
      </c>
      <c r="M65">
        <f t="shared" si="7"/>
        <v>0</v>
      </c>
    </row>
    <row r="66" spans="1:13" x14ac:dyDescent="0.35">
      <c r="A66" s="1" t="s">
        <v>66</v>
      </c>
      <c r="B66">
        <v>227.44778205763899</v>
      </c>
      <c r="C66">
        <v>217.3114394825383</v>
      </c>
      <c r="D66">
        <f t="shared" si="0"/>
        <v>1</v>
      </c>
      <c r="E66">
        <f t="shared" si="1"/>
        <v>-10.136342575100684</v>
      </c>
      <c r="F66">
        <v>215.87418607138261</v>
      </c>
      <c r="G66">
        <v>223.75635135928229</v>
      </c>
      <c r="H66">
        <f t="shared" si="2"/>
        <v>0</v>
      </c>
      <c r="I66">
        <f t="shared" si="3"/>
        <v>-7.8821652878996815</v>
      </c>
      <c r="J66">
        <f t="shared" si="4"/>
        <v>451.20413341692131</v>
      </c>
      <c r="K66">
        <f t="shared" si="5"/>
        <v>433.18562555392089</v>
      </c>
      <c r="L66">
        <f t="shared" si="6"/>
        <v>0</v>
      </c>
      <c r="M66">
        <f t="shared" si="7"/>
        <v>0</v>
      </c>
    </row>
    <row r="67" spans="1:13" x14ac:dyDescent="0.35">
      <c r="A67" s="1" t="s">
        <v>67</v>
      </c>
      <c r="B67">
        <v>4.28297087349591</v>
      </c>
      <c r="C67">
        <v>3.8656430446402719</v>
      </c>
      <c r="D67">
        <f t="shared" ref="D67:D101" si="8">IF(B67&gt;C67,1,0)</f>
        <v>1</v>
      </c>
      <c r="E67">
        <f t="shared" ref="E67:E101" si="9">C67-B67</f>
        <v>-0.41732782885563813</v>
      </c>
      <c r="F67">
        <v>0.91034235583717782</v>
      </c>
      <c r="G67">
        <v>9.6265999586894004</v>
      </c>
      <c r="H67">
        <f t="shared" ref="H67:H101" si="10">IF(F67&gt;G67,1,0)</f>
        <v>0</v>
      </c>
      <c r="I67">
        <f t="shared" ref="I67:I101" si="11">F67-G67</f>
        <v>-8.7162576028522221</v>
      </c>
      <c r="J67">
        <f t="shared" ref="J67:J101" si="12">B67+G67</f>
        <v>13.90957083218531</v>
      </c>
      <c r="K67">
        <f t="shared" ref="K67:K101" si="13">C67+F67</f>
        <v>4.7759854004774498</v>
      </c>
      <c r="L67">
        <f t="shared" ref="L67:L101" si="14">IF(K67-J67&gt;J67,1,0)</f>
        <v>0</v>
      </c>
      <c r="M67">
        <f t="shared" ref="M67:M101" si="15">IF(J67-K67&gt;K67,1,0)</f>
        <v>1</v>
      </c>
    </row>
    <row r="68" spans="1:13" x14ac:dyDescent="0.35">
      <c r="A68" s="1" t="s">
        <v>68</v>
      </c>
      <c r="B68">
        <v>26.508960040756168</v>
      </c>
      <c r="C68">
        <v>14.614713080144</v>
      </c>
      <c r="D68">
        <f t="shared" si="8"/>
        <v>1</v>
      </c>
      <c r="E68">
        <f t="shared" si="9"/>
        <v>-11.894246960612168</v>
      </c>
      <c r="F68">
        <v>8.5837805103723905</v>
      </c>
      <c r="G68">
        <v>8.1156929380354796</v>
      </c>
      <c r="H68">
        <f t="shared" si="10"/>
        <v>1</v>
      </c>
      <c r="I68">
        <f t="shared" si="11"/>
        <v>0.4680875723369109</v>
      </c>
      <c r="J68">
        <f t="shared" si="12"/>
        <v>34.624652978791644</v>
      </c>
      <c r="K68">
        <f t="shared" si="13"/>
        <v>23.198493590516392</v>
      </c>
      <c r="L68">
        <f t="shared" si="14"/>
        <v>0</v>
      </c>
      <c r="M68">
        <f t="shared" si="15"/>
        <v>0</v>
      </c>
    </row>
    <row r="69" spans="1:13" x14ac:dyDescent="0.35">
      <c r="A69" s="1" t="s">
        <v>69</v>
      </c>
      <c r="B69">
        <v>317.44358578635388</v>
      </c>
      <c r="C69">
        <v>249.72706065631121</v>
      </c>
      <c r="D69">
        <f t="shared" si="8"/>
        <v>1</v>
      </c>
      <c r="E69">
        <f t="shared" si="9"/>
        <v>-67.716525130042669</v>
      </c>
      <c r="F69">
        <v>25.703664730329258</v>
      </c>
      <c r="G69">
        <v>98.887768666734445</v>
      </c>
      <c r="H69">
        <f t="shared" si="10"/>
        <v>0</v>
      </c>
      <c r="I69">
        <f t="shared" si="11"/>
        <v>-73.184103936405194</v>
      </c>
      <c r="J69">
        <f t="shared" si="12"/>
        <v>416.33135445308835</v>
      </c>
      <c r="K69">
        <f t="shared" si="13"/>
        <v>275.43072538664046</v>
      </c>
      <c r="L69">
        <f t="shared" si="14"/>
        <v>0</v>
      </c>
      <c r="M69">
        <f t="shared" si="15"/>
        <v>0</v>
      </c>
    </row>
    <row r="70" spans="1:13" x14ac:dyDescent="0.35">
      <c r="A70" s="1" t="s">
        <v>70</v>
      </c>
      <c r="B70">
        <v>8.0176116609218546</v>
      </c>
      <c r="C70">
        <v>35.492232992692301</v>
      </c>
      <c r="D70">
        <f t="shared" si="8"/>
        <v>0</v>
      </c>
      <c r="E70">
        <f t="shared" si="9"/>
        <v>27.474621331770447</v>
      </c>
      <c r="F70">
        <v>38.15511133305715</v>
      </c>
      <c r="G70">
        <v>8.2931292459486663</v>
      </c>
      <c r="H70">
        <f t="shared" si="10"/>
        <v>1</v>
      </c>
      <c r="I70">
        <f t="shared" si="11"/>
        <v>29.861982087108483</v>
      </c>
      <c r="J70">
        <f t="shared" si="12"/>
        <v>16.310740906870521</v>
      </c>
      <c r="K70">
        <f t="shared" si="13"/>
        <v>73.647344325749458</v>
      </c>
      <c r="L70">
        <f t="shared" si="14"/>
        <v>1</v>
      </c>
      <c r="M70">
        <f t="shared" si="15"/>
        <v>0</v>
      </c>
    </row>
    <row r="71" spans="1:13" x14ac:dyDescent="0.35">
      <c r="A71" s="1" t="s">
        <v>71</v>
      </c>
      <c r="B71">
        <v>244.03820432616371</v>
      </c>
      <c r="C71">
        <v>257.33440163784672</v>
      </c>
      <c r="D71">
        <f t="shared" si="8"/>
        <v>0</v>
      </c>
      <c r="E71">
        <f t="shared" si="9"/>
        <v>13.296197311683017</v>
      </c>
      <c r="F71">
        <v>90.130567259421383</v>
      </c>
      <c r="G71">
        <v>98.644304865718496</v>
      </c>
      <c r="H71">
        <f t="shared" si="10"/>
        <v>0</v>
      </c>
      <c r="I71">
        <f t="shared" si="11"/>
        <v>-8.5137376062971128</v>
      </c>
      <c r="J71">
        <f t="shared" si="12"/>
        <v>342.68250919188222</v>
      </c>
      <c r="K71">
        <f t="shared" si="13"/>
        <v>347.46496889726814</v>
      </c>
      <c r="L71">
        <f t="shared" si="14"/>
        <v>0</v>
      </c>
      <c r="M71">
        <f t="shared" si="15"/>
        <v>0</v>
      </c>
    </row>
    <row r="72" spans="1:13" x14ac:dyDescent="0.35">
      <c r="A72" s="1" t="s">
        <v>72</v>
      </c>
      <c r="B72">
        <v>181.95257869784169</v>
      </c>
      <c r="C72">
        <v>192.60370337165469</v>
      </c>
      <c r="D72">
        <f t="shared" si="8"/>
        <v>0</v>
      </c>
      <c r="E72">
        <f t="shared" si="9"/>
        <v>10.651124673813001</v>
      </c>
      <c r="F72">
        <v>195.1388217816266</v>
      </c>
      <c r="G72">
        <v>178.64691203392209</v>
      </c>
      <c r="H72">
        <f t="shared" si="10"/>
        <v>1</v>
      </c>
      <c r="I72">
        <f t="shared" si="11"/>
        <v>16.491909747704511</v>
      </c>
      <c r="J72">
        <f t="shared" si="12"/>
        <v>360.59949073176381</v>
      </c>
      <c r="K72">
        <f t="shared" si="13"/>
        <v>387.74252515328129</v>
      </c>
      <c r="L72">
        <f t="shared" si="14"/>
        <v>0</v>
      </c>
      <c r="M72">
        <f t="shared" si="15"/>
        <v>0</v>
      </c>
    </row>
    <row r="73" spans="1:13" x14ac:dyDescent="0.35">
      <c r="A73" s="1" t="s">
        <v>73</v>
      </c>
      <c r="B73">
        <v>281.6489170616095</v>
      </c>
      <c r="C73">
        <v>296.07738887548618</v>
      </c>
      <c r="D73">
        <f t="shared" si="8"/>
        <v>0</v>
      </c>
      <c r="E73">
        <f t="shared" si="9"/>
        <v>14.428471813876683</v>
      </c>
      <c r="F73">
        <v>92.50245680302713</v>
      </c>
      <c r="G73">
        <v>45.797874783703051</v>
      </c>
      <c r="H73">
        <f t="shared" si="10"/>
        <v>1</v>
      </c>
      <c r="I73">
        <f t="shared" si="11"/>
        <v>46.704582019324079</v>
      </c>
      <c r="J73">
        <f t="shared" si="12"/>
        <v>327.44679184531253</v>
      </c>
      <c r="K73">
        <f t="shared" si="13"/>
        <v>388.57984567851332</v>
      </c>
      <c r="L73">
        <f t="shared" si="14"/>
        <v>0</v>
      </c>
      <c r="M73">
        <f t="shared" si="15"/>
        <v>0</v>
      </c>
    </row>
    <row r="74" spans="1:13" x14ac:dyDescent="0.35">
      <c r="A74" s="1" t="s">
        <v>74</v>
      </c>
      <c r="B74">
        <v>130.58808793764109</v>
      </c>
      <c r="C74">
        <v>105.423711907822</v>
      </c>
      <c r="D74">
        <f t="shared" si="8"/>
        <v>1</v>
      </c>
      <c r="E74">
        <f t="shared" si="9"/>
        <v>-25.164376029819095</v>
      </c>
      <c r="F74">
        <v>43.940704935415887</v>
      </c>
      <c r="G74">
        <v>49.611255657996317</v>
      </c>
      <c r="H74">
        <f t="shared" si="10"/>
        <v>0</v>
      </c>
      <c r="I74">
        <f t="shared" si="11"/>
        <v>-5.6705507225804297</v>
      </c>
      <c r="J74">
        <f t="shared" si="12"/>
        <v>180.1993435956374</v>
      </c>
      <c r="K74">
        <f t="shared" si="13"/>
        <v>149.36441684323788</v>
      </c>
      <c r="L74">
        <f t="shared" si="14"/>
        <v>0</v>
      </c>
      <c r="M74">
        <f t="shared" si="15"/>
        <v>0</v>
      </c>
    </row>
    <row r="75" spans="1:13" x14ac:dyDescent="0.35">
      <c r="A75" s="1" t="s">
        <v>75</v>
      </c>
      <c r="B75">
        <v>245.5454306412858</v>
      </c>
      <c r="C75">
        <v>266.37557839179959</v>
      </c>
      <c r="D75">
        <f t="shared" si="8"/>
        <v>0</v>
      </c>
      <c r="E75">
        <f t="shared" si="9"/>
        <v>20.830147750513788</v>
      </c>
      <c r="F75">
        <v>276.47222453243631</v>
      </c>
      <c r="G75">
        <v>266.97419577372563</v>
      </c>
      <c r="H75">
        <f t="shared" si="10"/>
        <v>1</v>
      </c>
      <c r="I75">
        <f t="shared" si="11"/>
        <v>9.4980287587106886</v>
      </c>
      <c r="J75">
        <f t="shared" si="12"/>
        <v>512.51962641501143</v>
      </c>
      <c r="K75">
        <f t="shared" si="13"/>
        <v>542.84780292423591</v>
      </c>
      <c r="L75">
        <f t="shared" si="14"/>
        <v>0</v>
      </c>
      <c r="M75">
        <f t="shared" si="15"/>
        <v>0</v>
      </c>
    </row>
    <row r="76" spans="1:13" x14ac:dyDescent="0.35">
      <c r="A76" s="1" t="s">
        <v>76</v>
      </c>
      <c r="B76">
        <v>20.960676929002961</v>
      </c>
      <c r="C76">
        <v>16.60953026080049</v>
      </c>
      <c r="D76">
        <f t="shared" si="8"/>
        <v>1</v>
      </c>
      <c r="E76">
        <f t="shared" si="9"/>
        <v>-4.3511466682024711</v>
      </c>
      <c r="F76">
        <v>27.59777464849741</v>
      </c>
      <c r="G76">
        <v>19.919437852792651</v>
      </c>
      <c r="H76">
        <f t="shared" si="10"/>
        <v>1</v>
      </c>
      <c r="I76">
        <f t="shared" si="11"/>
        <v>7.6783367957047588</v>
      </c>
      <c r="J76">
        <f t="shared" si="12"/>
        <v>40.880114781795612</v>
      </c>
      <c r="K76">
        <f t="shared" si="13"/>
        <v>44.207304909297903</v>
      </c>
      <c r="L76">
        <f t="shared" si="14"/>
        <v>0</v>
      </c>
      <c r="M76">
        <f t="shared" si="15"/>
        <v>0</v>
      </c>
    </row>
    <row r="77" spans="1:13" x14ac:dyDescent="0.35">
      <c r="A77" s="1" t="s">
        <v>77</v>
      </c>
      <c r="B77">
        <v>260.71894267263292</v>
      </c>
      <c r="C77">
        <v>193.9199984269099</v>
      </c>
      <c r="D77">
        <f t="shared" si="8"/>
        <v>1</v>
      </c>
      <c r="E77">
        <f t="shared" si="9"/>
        <v>-66.798944245723021</v>
      </c>
      <c r="F77">
        <v>2.99365413426206</v>
      </c>
      <c r="G77">
        <v>3.941568548318362</v>
      </c>
      <c r="H77">
        <f t="shared" si="10"/>
        <v>0</v>
      </c>
      <c r="I77">
        <f t="shared" si="11"/>
        <v>-0.94791441405630206</v>
      </c>
      <c r="J77">
        <f t="shared" si="12"/>
        <v>264.66051122095126</v>
      </c>
      <c r="K77">
        <f t="shared" si="13"/>
        <v>196.91365256117197</v>
      </c>
      <c r="L77">
        <f t="shared" si="14"/>
        <v>0</v>
      </c>
      <c r="M77">
        <f t="shared" si="15"/>
        <v>0</v>
      </c>
    </row>
    <row r="78" spans="1:13" x14ac:dyDescent="0.35">
      <c r="A78" s="1" t="s">
        <v>78</v>
      </c>
      <c r="B78">
        <v>47.558783796338354</v>
      </c>
      <c r="C78">
        <v>292.35373390778858</v>
      </c>
      <c r="D78">
        <f t="shared" si="8"/>
        <v>0</v>
      </c>
      <c r="E78">
        <f t="shared" si="9"/>
        <v>244.79495011145022</v>
      </c>
      <c r="F78">
        <v>302.35017952208631</v>
      </c>
      <c r="G78">
        <v>47.379067267836312</v>
      </c>
      <c r="H78">
        <f t="shared" si="10"/>
        <v>1</v>
      </c>
      <c r="I78">
        <f t="shared" si="11"/>
        <v>254.97111225424999</v>
      </c>
      <c r="J78">
        <f t="shared" si="12"/>
        <v>94.937851064174666</v>
      </c>
      <c r="K78">
        <f t="shared" si="13"/>
        <v>594.70391342987489</v>
      </c>
      <c r="L78">
        <f t="shared" si="14"/>
        <v>1</v>
      </c>
      <c r="M78">
        <f t="shared" si="15"/>
        <v>0</v>
      </c>
    </row>
    <row r="79" spans="1:13" x14ac:dyDescent="0.35">
      <c r="A79" s="1" t="s">
        <v>79</v>
      </c>
      <c r="B79">
        <v>111.1755146947357</v>
      </c>
      <c r="C79">
        <v>164.47535536199899</v>
      </c>
      <c r="D79">
        <f t="shared" si="8"/>
        <v>0</v>
      </c>
      <c r="E79">
        <f t="shared" si="9"/>
        <v>53.299840667263297</v>
      </c>
      <c r="F79">
        <v>257.50577001718023</v>
      </c>
      <c r="G79">
        <v>162.38502600727659</v>
      </c>
      <c r="H79">
        <f t="shared" si="10"/>
        <v>1</v>
      </c>
      <c r="I79">
        <f t="shared" si="11"/>
        <v>95.120744009903632</v>
      </c>
      <c r="J79">
        <f t="shared" si="12"/>
        <v>273.5605407020123</v>
      </c>
      <c r="K79">
        <f t="shared" si="13"/>
        <v>421.98112537917922</v>
      </c>
      <c r="L79">
        <f t="shared" si="14"/>
        <v>0</v>
      </c>
      <c r="M79">
        <f t="shared" si="15"/>
        <v>0</v>
      </c>
    </row>
    <row r="80" spans="1:13" x14ac:dyDescent="0.35">
      <c r="A80" s="1" t="s">
        <v>80</v>
      </c>
      <c r="B80">
        <v>344.44663269180302</v>
      </c>
      <c r="C80">
        <v>406.70735989348861</v>
      </c>
      <c r="D80">
        <f t="shared" si="8"/>
        <v>0</v>
      </c>
      <c r="E80">
        <f t="shared" si="9"/>
        <v>62.260727201685597</v>
      </c>
      <c r="F80">
        <v>416.30473443008668</v>
      </c>
      <c r="G80">
        <v>311.87306333016107</v>
      </c>
      <c r="H80">
        <f t="shared" si="10"/>
        <v>1</v>
      </c>
      <c r="I80">
        <f t="shared" si="11"/>
        <v>104.43167109992561</v>
      </c>
      <c r="J80">
        <f t="shared" si="12"/>
        <v>656.31969602196409</v>
      </c>
      <c r="K80">
        <f t="shared" si="13"/>
        <v>823.0120943235753</v>
      </c>
      <c r="L80">
        <f t="shared" si="14"/>
        <v>0</v>
      </c>
      <c r="M80">
        <f t="shared" si="15"/>
        <v>0</v>
      </c>
    </row>
    <row r="81" spans="1:13" x14ac:dyDescent="0.35">
      <c r="A81" s="1" t="s">
        <v>81</v>
      </c>
      <c r="B81">
        <v>376.52542764203457</v>
      </c>
      <c r="C81">
        <v>430.80106851252759</v>
      </c>
      <c r="D81">
        <f t="shared" si="8"/>
        <v>0</v>
      </c>
      <c r="E81">
        <f t="shared" si="9"/>
        <v>54.275640870493021</v>
      </c>
      <c r="F81">
        <v>425.28414650995222</v>
      </c>
      <c r="G81">
        <v>381.98513585927941</v>
      </c>
      <c r="H81">
        <f t="shared" si="10"/>
        <v>1</v>
      </c>
      <c r="I81">
        <f t="shared" si="11"/>
        <v>43.299010650672813</v>
      </c>
      <c r="J81">
        <f t="shared" si="12"/>
        <v>758.51056350131398</v>
      </c>
      <c r="K81">
        <f t="shared" si="13"/>
        <v>856.08521502247982</v>
      </c>
      <c r="L81">
        <f t="shared" si="14"/>
        <v>0</v>
      </c>
      <c r="M81">
        <f t="shared" si="15"/>
        <v>0</v>
      </c>
    </row>
    <row r="82" spans="1:13" x14ac:dyDescent="0.35">
      <c r="A82" s="1" t="s">
        <v>82</v>
      </c>
      <c r="B82">
        <v>16.481063879741789</v>
      </c>
      <c r="C82">
        <v>31.553943866906721</v>
      </c>
      <c r="D82">
        <f t="shared" si="8"/>
        <v>0</v>
      </c>
      <c r="E82">
        <f t="shared" si="9"/>
        <v>15.072879987164931</v>
      </c>
      <c r="F82">
        <v>4.9916930022726076</v>
      </c>
      <c r="G82">
        <v>10.143508439125419</v>
      </c>
      <c r="H82">
        <f t="shared" si="10"/>
        <v>0</v>
      </c>
      <c r="I82">
        <f t="shared" si="11"/>
        <v>-5.1518154368528117</v>
      </c>
      <c r="J82">
        <f t="shared" si="12"/>
        <v>26.624572318867209</v>
      </c>
      <c r="K82">
        <f t="shared" si="13"/>
        <v>36.545636869179326</v>
      </c>
      <c r="L82">
        <f t="shared" si="14"/>
        <v>0</v>
      </c>
      <c r="M82">
        <f t="shared" si="15"/>
        <v>0</v>
      </c>
    </row>
    <row r="83" spans="1:13" x14ac:dyDescent="0.35">
      <c r="A83" s="1" t="s">
        <v>83</v>
      </c>
      <c r="B83">
        <v>25.294761134306579</v>
      </c>
      <c r="C83">
        <v>40.008640964695623</v>
      </c>
      <c r="D83">
        <f t="shared" si="8"/>
        <v>0</v>
      </c>
      <c r="E83">
        <f t="shared" si="9"/>
        <v>14.713879830389043</v>
      </c>
      <c r="F83">
        <v>31.76870875136024</v>
      </c>
      <c r="G83">
        <v>25.510675581928339</v>
      </c>
      <c r="H83">
        <f t="shared" si="10"/>
        <v>1</v>
      </c>
      <c r="I83">
        <f t="shared" si="11"/>
        <v>6.2580331694319007</v>
      </c>
      <c r="J83">
        <f t="shared" si="12"/>
        <v>50.805436716234922</v>
      </c>
      <c r="K83">
        <f t="shared" si="13"/>
        <v>71.777349716055866</v>
      </c>
      <c r="L83">
        <f t="shared" si="14"/>
        <v>0</v>
      </c>
      <c r="M83">
        <f t="shared" si="15"/>
        <v>0</v>
      </c>
    </row>
    <row r="84" spans="1:13" x14ac:dyDescent="0.35">
      <c r="A84" s="1" t="s">
        <v>84</v>
      </c>
      <c r="B84">
        <v>263.87917517677528</v>
      </c>
      <c r="C84">
        <v>227.2262777812351</v>
      </c>
      <c r="D84">
        <f t="shared" si="8"/>
        <v>1</v>
      </c>
      <c r="E84">
        <f t="shared" si="9"/>
        <v>-36.65289739554018</v>
      </c>
      <c r="F84">
        <v>199.0943631573879</v>
      </c>
      <c r="G84">
        <v>264.43314321765638</v>
      </c>
      <c r="H84">
        <f t="shared" si="10"/>
        <v>0</v>
      </c>
      <c r="I84">
        <f t="shared" si="11"/>
        <v>-65.338780060268476</v>
      </c>
      <c r="J84">
        <f t="shared" si="12"/>
        <v>528.31231839443171</v>
      </c>
      <c r="K84">
        <f t="shared" si="13"/>
        <v>426.320640938623</v>
      </c>
      <c r="L84">
        <f t="shared" si="14"/>
        <v>0</v>
      </c>
      <c r="M84">
        <f t="shared" si="15"/>
        <v>0</v>
      </c>
    </row>
    <row r="85" spans="1:13" x14ac:dyDescent="0.35">
      <c r="A85" s="1" t="s">
        <v>85</v>
      </c>
      <c r="B85">
        <v>173.6102288553347</v>
      </c>
      <c r="C85">
        <v>215.96864977735339</v>
      </c>
      <c r="D85">
        <f t="shared" si="8"/>
        <v>0</v>
      </c>
      <c r="E85">
        <f t="shared" si="9"/>
        <v>42.358420922018695</v>
      </c>
      <c r="F85">
        <v>191.97783850182921</v>
      </c>
      <c r="G85">
        <v>161.05504158691079</v>
      </c>
      <c r="H85">
        <f t="shared" si="10"/>
        <v>1</v>
      </c>
      <c r="I85">
        <f t="shared" si="11"/>
        <v>30.922796914918422</v>
      </c>
      <c r="J85">
        <f t="shared" si="12"/>
        <v>334.66527044224551</v>
      </c>
      <c r="K85">
        <f t="shared" si="13"/>
        <v>407.94648827918263</v>
      </c>
      <c r="L85">
        <f t="shared" si="14"/>
        <v>0</v>
      </c>
      <c r="M85">
        <f t="shared" si="15"/>
        <v>0</v>
      </c>
    </row>
    <row r="86" spans="1:13" x14ac:dyDescent="0.35">
      <c r="A86" s="1" t="s">
        <v>86</v>
      </c>
      <c r="B86">
        <v>49.080194373844719</v>
      </c>
      <c r="C86">
        <v>119.64823859215301</v>
      </c>
      <c r="D86">
        <f t="shared" si="8"/>
        <v>0</v>
      </c>
      <c r="E86">
        <f t="shared" si="9"/>
        <v>70.568044218308287</v>
      </c>
      <c r="F86">
        <v>6.3917409091057609</v>
      </c>
      <c r="G86">
        <v>17.030571649521839</v>
      </c>
      <c r="H86">
        <f t="shared" si="10"/>
        <v>0</v>
      </c>
      <c r="I86">
        <f t="shared" si="11"/>
        <v>-10.638830740416079</v>
      </c>
      <c r="J86">
        <f t="shared" si="12"/>
        <v>66.110766023366551</v>
      </c>
      <c r="K86">
        <f t="shared" si="13"/>
        <v>126.03997950125877</v>
      </c>
      <c r="L86">
        <f t="shared" si="14"/>
        <v>0</v>
      </c>
      <c r="M86">
        <f t="shared" si="15"/>
        <v>0</v>
      </c>
    </row>
    <row r="87" spans="1:13" x14ac:dyDescent="0.35">
      <c r="A87" s="1" t="s">
        <v>87</v>
      </c>
      <c r="B87">
        <v>73.821071957720363</v>
      </c>
      <c r="C87">
        <v>368.77549413370491</v>
      </c>
      <c r="D87">
        <f t="shared" si="8"/>
        <v>0</v>
      </c>
      <c r="E87">
        <f t="shared" si="9"/>
        <v>294.95442217598452</v>
      </c>
      <c r="F87">
        <v>11.708536700766251</v>
      </c>
      <c r="G87">
        <v>5.5911734070351073</v>
      </c>
      <c r="H87">
        <f t="shared" si="10"/>
        <v>1</v>
      </c>
      <c r="I87">
        <f t="shared" si="11"/>
        <v>6.1173632937311435</v>
      </c>
      <c r="J87">
        <f t="shared" si="12"/>
        <v>79.412245364755478</v>
      </c>
      <c r="K87">
        <f t="shared" si="13"/>
        <v>380.48403083447118</v>
      </c>
      <c r="L87">
        <f t="shared" si="14"/>
        <v>1</v>
      </c>
      <c r="M87">
        <f t="shared" si="15"/>
        <v>0</v>
      </c>
    </row>
    <row r="88" spans="1:13" x14ac:dyDescent="0.35">
      <c r="A88" s="1" t="s">
        <v>88</v>
      </c>
      <c r="B88">
        <v>287.4171595587884</v>
      </c>
      <c r="C88">
        <v>258.54323286795812</v>
      </c>
      <c r="D88">
        <f t="shared" si="8"/>
        <v>1</v>
      </c>
      <c r="E88">
        <f t="shared" si="9"/>
        <v>-28.873926690830274</v>
      </c>
      <c r="F88">
        <v>18.699879165043921</v>
      </c>
      <c r="G88">
        <v>37.559413120145138</v>
      </c>
      <c r="H88">
        <f t="shared" si="10"/>
        <v>0</v>
      </c>
      <c r="I88">
        <f t="shared" si="11"/>
        <v>-18.859533955101217</v>
      </c>
      <c r="J88">
        <f t="shared" si="12"/>
        <v>324.97657267893351</v>
      </c>
      <c r="K88">
        <f t="shared" si="13"/>
        <v>277.24311203300203</v>
      </c>
      <c r="L88">
        <f t="shared" si="14"/>
        <v>0</v>
      </c>
      <c r="M88">
        <f t="shared" si="15"/>
        <v>0</v>
      </c>
    </row>
    <row r="89" spans="1:13" x14ac:dyDescent="0.35">
      <c r="A89" s="1" t="s">
        <v>89</v>
      </c>
      <c r="B89">
        <v>42.179324692311063</v>
      </c>
      <c r="C89">
        <v>161.7427183667896</v>
      </c>
      <c r="D89">
        <f t="shared" si="8"/>
        <v>0</v>
      </c>
      <c r="E89">
        <f t="shared" si="9"/>
        <v>119.56339367447853</v>
      </c>
      <c r="F89">
        <v>1.2628693589417721</v>
      </c>
      <c r="G89">
        <v>5.6271699483655206</v>
      </c>
      <c r="H89">
        <f t="shared" si="10"/>
        <v>0</v>
      </c>
      <c r="I89">
        <f t="shared" si="11"/>
        <v>-4.364300589423749</v>
      </c>
      <c r="J89">
        <f t="shared" si="12"/>
        <v>47.806494640676583</v>
      </c>
      <c r="K89">
        <f t="shared" si="13"/>
        <v>163.00558772573137</v>
      </c>
      <c r="L89">
        <f t="shared" si="14"/>
        <v>1</v>
      </c>
      <c r="M89">
        <f t="shared" si="15"/>
        <v>0</v>
      </c>
    </row>
    <row r="90" spans="1:13" x14ac:dyDescent="0.35">
      <c r="A90" s="1" t="s">
        <v>90</v>
      </c>
      <c r="B90">
        <v>180.04802273918551</v>
      </c>
      <c r="C90">
        <v>170.96728023138519</v>
      </c>
      <c r="D90">
        <f t="shared" si="8"/>
        <v>1</v>
      </c>
      <c r="E90">
        <f t="shared" si="9"/>
        <v>-9.0807425078003234</v>
      </c>
      <c r="F90">
        <v>153.20924572498231</v>
      </c>
      <c r="G90">
        <v>187.06236522314779</v>
      </c>
      <c r="H90">
        <f t="shared" si="10"/>
        <v>0</v>
      </c>
      <c r="I90">
        <f t="shared" si="11"/>
        <v>-33.853119498165483</v>
      </c>
      <c r="J90">
        <f t="shared" si="12"/>
        <v>367.11038796233333</v>
      </c>
      <c r="K90">
        <f t="shared" si="13"/>
        <v>324.17652595636753</v>
      </c>
      <c r="L90">
        <f t="shared" si="14"/>
        <v>0</v>
      </c>
      <c r="M90">
        <f t="shared" si="15"/>
        <v>0</v>
      </c>
    </row>
    <row r="91" spans="1:13" x14ac:dyDescent="0.35">
      <c r="A91" s="1" t="s">
        <v>91</v>
      </c>
      <c r="B91">
        <v>341.87736075854519</v>
      </c>
      <c r="C91">
        <v>253.19165401518919</v>
      </c>
      <c r="D91">
        <f t="shared" si="8"/>
        <v>1</v>
      </c>
      <c r="E91">
        <f t="shared" si="9"/>
        <v>-88.685706743356008</v>
      </c>
      <c r="F91">
        <v>4.6794736329247346</v>
      </c>
      <c r="G91">
        <v>4.3628912035218006</v>
      </c>
      <c r="H91">
        <f t="shared" si="10"/>
        <v>1</v>
      </c>
      <c r="I91">
        <f t="shared" si="11"/>
        <v>0.31658242940293402</v>
      </c>
      <c r="J91">
        <f t="shared" si="12"/>
        <v>346.24025196206702</v>
      </c>
      <c r="K91">
        <f t="shared" si="13"/>
        <v>257.87112764811394</v>
      </c>
      <c r="L91">
        <f t="shared" si="14"/>
        <v>0</v>
      </c>
      <c r="M91">
        <f t="shared" si="15"/>
        <v>0</v>
      </c>
    </row>
    <row r="92" spans="1:13" x14ac:dyDescent="0.35">
      <c r="A92" s="1" t="s">
        <v>92</v>
      </c>
      <c r="B92">
        <v>15.06200421574381</v>
      </c>
      <c r="C92">
        <v>17.389590648191032</v>
      </c>
      <c r="D92">
        <f t="shared" si="8"/>
        <v>0</v>
      </c>
      <c r="E92">
        <f t="shared" si="9"/>
        <v>2.3275864324472213</v>
      </c>
      <c r="F92">
        <v>18.74631686091254</v>
      </c>
      <c r="G92">
        <v>13.701649125779159</v>
      </c>
      <c r="H92">
        <f t="shared" si="10"/>
        <v>1</v>
      </c>
      <c r="I92">
        <f t="shared" si="11"/>
        <v>5.0446677351333804</v>
      </c>
      <c r="J92">
        <f t="shared" si="12"/>
        <v>28.763653341522968</v>
      </c>
      <c r="K92">
        <f t="shared" si="13"/>
        <v>36.135907509103575</v>
      </c>
      <c r="L92">
        <f t="shared" si="14"/>
        <v>0</v>
      </c>
      <c r="M92">
        <f t="shared" si="15"/>
        <v>0</v>
      </c>
    </row>
    <row r="93" spans="1:13" x14ac:dyDescent="0.35">
      <c r="A93" s="1" t="s">
        <v>93</v>
      </c>
      <c r="B93">
        <v>249.08288552091179</v>
      </c>
      <c r="C93">
        <v>176.21385149779081</v>
      </c>
      <c r="D93">
        <f t="shared" si="8"/>
        <v>1</v>
      </c>
      <c r="E93">
        <f t="shared" si="9"/>
        <v>-72.869034023120975</v>
      </c>
      <c r="F93">
        <v>15.87226084908912</v>
      </c>
      <c r="G93">
        <v>14.02252084947561</v>
      </c>
      <c r="H93">
        <f t="shared" si="10"/>
        <v>1</v>
      </c>
      <c r="I93">
        <f t="shared" si="11"/>
        <v>1.8497399996135098</v>
      </c>
      <c r="J93">
        <f t="shared" si="12"/>
        <v>263.10540637038741</v>
      </c>
      <c r="K93">
        <f t="shared" si="13"/>
        <v>192.08611234687993</v>
      </c>
      <c r="L93">
        <f t="shared" si="14"/>
        <v>0</v>
      </c>
      <c r="M93">
        <f t="shared" si="15"/>
        <v>0</v>
      </c>
    </row>
    <row r="94" spans="1:13" x14ac:dyDescent="0.35">
      <c r="A94" s="1" t="s">
        <v>94</v>
      </c>
      <c r="B94">
        <v>27.77350739916842</v>
      </c>
      <c r="C94">
        <v>19.840695821539342</v>
      </c>
      <c r="D94">
        <f t="shared" si="8"/>
        <v>1</v>
      </c>
      <c r="E94">
        <f t="shared" si="9"/>
        <v>-7.932811577629078</v>
      </c>
      <c r="F94">
        <v>17.483671758118209</v>
      </c>
      <c r="G94">
        <v>28.260981406718411</v>
      </c>
      <c r="H94">
        <f t="shared" si="10"/>
        <v>0</v>
      </c>
      <c r="I94">
        <f t="shared" si="11"/>
        <v>-10.777309648600202</v>
      </c>
      <c r="J94">
        <f t="shared" si="12"/>
        <v>56.034488805886831</v>
      </c>
      <c r="K94">
        <f t="shared" si="13"/>
        <v>37.324367579657547</v>
      </c>
      <c r="L94">
        <f t="shared" si="14"/>
        <v>0</v>
      </c>
      <c r="M94">
        <f t="shared" si="15"/>
        <v>0</v>
      </c>
    </row>
    <row r="95" spans="1:13" x14ac:dyDescent="0.35">
      <c r="A95" s="1" t="s">
        <v>95</v>
      </c>
      <c r="B95">
        <v>44.642102147818541</v>
      </c>
      <c r="C95">
        <v>9.6530085489545527</v>
      </c>
      <c r="D95">
        <f t="shared" si="8"/>
        <v>1</v>
      </c>
      <c r="E95">
        <f t="shared" si="9"/>
        <v>-34.989093598863988</v>
      </c>
      <c r="F95">
        <v>8.2273855053020597</v>
      </c>
      <c r="G95">
        <v>38.706163293099287</v>
      </c>
      <c r="H95">
        <f t="shared" si="10"/>
        <v>0</v>
      </c>
      <c r="I95">
        <f t="shared" si="11"/>
        <v>-30.478777787797227</v>
      </c>
      <c r="J95">
        <f t="shared" si="12"/>
        <v>83.348265440917828</v>
      </c>
      <c r="K95">
        <f t="shared" si="13"/>
        <v>17.880394054256612</v>
      </c>
      <c r="L95">
        <f t="shared" si="14"/>
        <v>0</v>
      </c>
      <c r="M95">
        <f t="shared" si="15"/>
        <v>1</v>
      </c>
    </row>
    <row r="96" spans="1:13" x14ac:dyDescent="0.35">
      <c r="A96" s="1" t="s">
        <v>96</v>
      </c>
      <c r="B96">
        <v>306.15447423708031</v>
      </c>
      <c r="C96">
        <v>294.39802860088429</v>
      </c>
      <c r="D96">
        <f t="shared" si="8"/>
        <v>1</v>
      </c>
      <c r="E96">
        <f t="shared" si="9"/>
        <v>-11.75644563619602</v>
      </c>
      <c r="F96">
        <v>293.39943577627042</v>
      </c>
      <c r="G96">
        <v>312.90368791826143</v>
      </c>
      <c r="H96">
        <f t="shared" si="10"/>
        <v>0</v>
      </c>
      <c r="I96">
        <f t="shared" si="11"/>
        <v>-19.504252141991003</v>
      </c>
      <c r="J96">
        <f t="shared" si="12"/>
        <v>619.05816215534173</v>
      </c>
      <c r="K96">
        <f t="shared" si="13"/>
        <v>587.79746437715471</v>
      </c>
      <c r="L96">
        <f t="shared" si="14"/>
        <v>0</v>
      </c>
      <c r="M96">
        <f t="shared" si="15"/>
        <v>0</v>
      </c>
    </row>
    <row r="97" spans="1:13" x14ac:dyDescent="0.35">
      <c r="A97" s="1" t="s">
        <v>97</v>
      </c>
      <c r="B97">
        <v>89.221970213271703</v>
      </c>
      <c r="C97">
        <v>16.53964228686544</v>
      </c>
      <c r="D97">
        <f t="shared" si="8"/>
        <v>1</v>
      </c>
      <c r="E97">
        <f t="shared" si="9"/>
        <v>-72.682327926406259</v>
      </c>
      <c r="F97">
        <v>2.5641535279042822</v>
      </c>
      <c r="G97">
        <v>10.728437867162681</v>
      </c>
      <c r="H97">
        <f t="shared" si="10"/>
        <v>0</v>
      </c>
      <c r="I97">
        <f t="shared" si="11"/>
        <v>-8.1642843392583977</v>
      </c>
      <c r="J97">
        <f t="shared" si="12"/>
        <v>99.950408080434386</v>
      </c>
      <c r="K97">
        <f t="shared" si="13"/>
        <v>19.103795814769722</v>
      </c>
      <c r="L97">
        <f t="shared" si="14"/>
        <v>0</v>
      </c>
      <c r="M97">
        <f t="shared" si="15"/>
        <v>1</v>
      </c>
    </row>
    <row r="98" spans="1:13" x14ac:dyDescent="0.35">
      <c r="A98" s="1" t="s">
        <v>98</v>
      </c>
      <c r="B98">
        <v>231.07203346384341</v>
      </c>
      <c r="C98">
        <v>241.13701352342639</v>
      </c>
      <c r="D98">
        <f t="shared" si="8"/>
        <v>0</v>
      </c>
      <c r="E98">
        <f t="shared" si="9"/>
        <v>10.064980059582979</v>
      </c>
      <c r="F98">
        <v>241.76694248960791</v>
      </c>
      <c r="G98">
        <v>232.95073469927971</v>
      </c>
      <c r="H98">
        <f t="shared" si="10"/>
        <v>1</v>
      </c>
      <c r="I98">
        <f t="shared" si="11"/>
        <v>8.8162077903282068</v>
      </c>
      <c r="J98">
        <f t="shared" si="12"/>
        <v>464.02276816312315</v>
      </c>
      <c r="K98">
        <f t="shared" si="13"/>
        <v>482.9039560130343</v>
      </c>
      <c r="L98">
        <f t="shared" si="14"/>
        <v>0</v>
      </c>
      <c r="M98">
        <f t="shared" si="15"/>
        <v>0</v>
      </c>
    </row>
    <row r="99" spans="1:13" x14ac:dyDescent="0.35">
      <c r="A99" s="1" t="s">
        <v>99</v>
      </c>
      <c r="B99">
        <v>405.52859393005582</v>
      </c>
      <c r="C99">
        <v>51.93845696389355</v>
      </c>
      <c r="D99">
        <f t="shared" si="8"/>
        <v>1</v>
      </c>
      <c r="E99">
        <f t="shared" si="9"/>
        <v>-353.59013696616228</v>
      </c>
      <c r="F99">
        <v>19.582949881535509</v>
      </c>
      <c r="G99">
        <v>184.31400539548011</v>
      </c>
      <c r="H99">
        <f t="shared" si="10"/>
        <v>0</v>
      </c>
      <c r="I99">
        <f t="shared" si="11"/>
        <v>-164.7310555139446</v>
      </c>
      <c r="J99">
        <f t="shared" si="12"/>
        <v>589.84259932553596</v>
      </c>
      <c r="K99">
        <f t="shared" si="13"/>
        <v>71.521406845429055</v>
      </c>
      <c r="L99">
        <f t="shared" si="14"/>
        <v>0</v>
      </c>
      <c r="M99">
        <f t="shared" si="15"/>
        <v>1</v>
      </c>
    </row>
    <row r="100" spans="1:13" x14ac:dyDescent="0.35">
      <c r="A100" s="1" t="s">
        <v>100</v>
      </c>
      <c r="B100">
        <v>148.73184030466359</v>
      </c>
      <c r="C100">
        <v>237.80864943609839</v>
      </c>
      <c r="D100">
        <f t="shared" si="8"/>
        <v>0</v>
      </c>
      <c r="E100">
        <f t="shared" si="9"/>
        <v>89.0768091314348</v>
      </c>
      <c r="F100">
        <v>325.78828302657109</v>
      </c>
      <c r="G100">
        <v>245.31361270146269</v>
      </c>
      <c r="H100">
        <f t="shared" si="10"/>
        <v>1</v>
      </c>
      <c r="I100">
        <f t="shared" si="11"/>
        <v>80.474670325108406</v>
      </c>
      <c r="J100">
        <f t="shared" si="12"/>
        <v>394.04545300612631</v>
      </c>
      <c r="K100">
        <f t="shared" si="13"/>
        <v>563.59693246266943</v>
      </c>
      <c r="L100">
        <f t="shared" si="14"/>
        <v>0</v>
      </c>
      <c r="M100">
        <f t="shared" si="15"/>
        <v>0</v>
      </c>
    </row>
    <row r="101" spans="1:13" x14ac:dyDescent="0.35">
      <c r="A101" s="1" t="s">
        <v>101</v>
      </c>
      <c r="B101">
        <v>42.245878555037073</v>
      </c>
      <c r="C101">
        <v>304.40344834535239</v>
      </c>
      <c r="D101">
        <f t="shared" si="8"/>
        <v>0</v>
      </c>
      <c r="E101">
        <f t="shared" si="9"/>
        <v>262.15756979031534</v>
      </c>
      <c r="F101">
        <v>308.07335599836028</v>
      </c>
      <c r="G101">
        <v>42.120340698131329</v>
      </c>
      <c r="H101">
        <f t="shared" si="10"/>
        <v>1</v>
      </c>
      <c r="I101">
        <f t="shared" si="11"/>
        <v>265.95301530022897</v>
      </c>
      <c r="J101">
        <f t="shared" si="12"/>
        <v>84.366219253168396</v>
      </c>
      <c r="K101">
        <f t="shared" si="13"/>
        <v>612.47680434371273</v>
      </c>
      <c r="L101">
        <f t="shared" si="14"/>
        <v>1</v>
      </c>
      <c r="M101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2025-05-14T15:23:39Z</dcterms:created>
  <dcterms:modified xsi:type="dcterms:W3CDTF">2025-05-14T15:24:59Z</dcterms:modified>
</cp:coreProperties>
</file>