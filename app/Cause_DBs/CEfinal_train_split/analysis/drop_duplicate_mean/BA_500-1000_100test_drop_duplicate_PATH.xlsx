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e/"/>
    </mc:Choice>
  </mc:AlternateContent>
  <xr:revisionPtr revIDLastSave="3" documentId="13_ncr:1_{5F91830C-50E9-4A87-942F-8EF1E09C8372}" xr6:coauthVersionLast="47" xr6:coauthVersionMax="47" xr10:uidLastSave="{1430F8A6-E715-4936-AC40-9FB34DA3B3B2}"/>
  <bookViews>
    <workbookView xWindow="12360" yWindow="4610" windowWidth="2199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H1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 s="1"/>
  <c r="D1" i="1" l="1"/>
  <c r="I1" i="1"/>
</calcChain>
</file>

<file path=xl/sharedStrings.xml><?xml version="1.0" encoding="utf-8"?>
<sst xmlns="http://schemas.openxmlformats.org/spreadsheetml/2006/main" count="106" uniqueCount="104">
  <si>
    <t>Path(['drop_duplicates_mean']A)</t>
  </si>
  <si>
    <t>Path(['drop_duplicates_mean']B)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</si>
  <si>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</si>
  <si>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</si>
  <si>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</si>
  <si>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</si>
  <si>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</si>
  <si>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</si>
  <si>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</si>
  <si>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</si>
  <si>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</si>
  <si>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</si>
  <si>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</si>
  <si>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</si>
  <si>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</si>
  <si>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</si>
  <si>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</si>
  <si>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</si>
  <si>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</si>
  <si>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</si>
  <si>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</si>
  <si>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</si>
  <si>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</si>
  <si>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</si>
  <si>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</si>
  <si>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</si>
  <si>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</si>
  <si>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</si>
  <si>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</si>
  <si>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</si>
  <si>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</si>
  <si>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</si>
  <si>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</si>
  <si>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</si>
  <si>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</si>
  <si>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</si>
  <si>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</si>
  <si>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</si>
  <si>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</si>
  <si>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</si>
  <si>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</si>
  <si>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</si>
  <si>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</si>
  <si>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</si>
  <si>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</si>
  <si>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</si>
  <si>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</si>
  <si>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</si>
  <si>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</si>
  <si>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</si>
  <si>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</si>
  <si>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</si>
  <si>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</si>
  <si>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</si>
  <si>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</si>
  <si>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</si>
  <si>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</si>
  <si>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</si>
  <si>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</si>
  <si>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</si>
  <si>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</si>
  <si>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</si>
  <si>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</si>
  <si>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</si>
  <si>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</si>
  <si>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</si>
  <si>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</si>
  <si>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</si>
  <si>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</si>
  <si>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</si>
  <si>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</si>
  <si>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</si>
  <si>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</si>
  <si>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</si>
  <si>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</si>
  <si>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</si>
  <si>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</si>
  <si>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</si>
  <si>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</si>
  <si>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</si>
  <si>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</si>
  <si>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</si>
  <si>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</si>
  <si>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</si>
  <si>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</si>
  <si>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</si>
  <si>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</si>
  <si>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</si>
  <si>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</si>
  <si>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</si>
  <si>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</si>
  <si>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</si>
  <si>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</si>
  <si>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</si>
  <si>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</si>
  <si>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</si>
  <si>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</si>
  <si>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</si>
  <si>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</si>
  <si>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</si>
  <si>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</si>
  <si>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</si>
  <si>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Path(drop_duplicates_meanB)</t>
  </si>
  <si>
    <t>Path(drop_duplicates_meanA)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</si>
</sst>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70" zoomScaleNormal="70" workbookViewId="0">
      <selection activeCell="I4" sqref="I4"/>
    </sheetView>
  </sheetViews>
  <sheetFormatPr defaultRowHeight="14.5" x14ac:dyDescent="0.35"/>
  <cols>
    <col min="1" max="1" width="8.81640625" bestFit="1" customWidth="1"/>
    <col min="2" max="2" width="29" bestFit="1" customWidth="1"/>
    <col min="3" max="3" width="28.90625" bestFit="1" customWidth="1"/>
    <col min="4" max="5" width="26.7265625" customWidth="1"/>
    <col min="6" max="6" width="28.90625" bestFit="1" customWidth="1"/>
    <col min="7" max="7" width="29" bestFit="1" customWidth="1"/>
    <col min="9" max="9" width="26.7265625" customWidth="1"/>
    <col min="10" max="10" width="26.7265625" bestFit="1" customWidth="1"/>
    <col min="11" max="11" width="26.81640625" bestFit="1" customWidth="1"/>
  </cols>
  <sheetData>
    <row r="1" spans="1:11" x14ac:dyDescent="0.35">
      <c r="B1" s="1" t="s">
        <v>0</v>
      </c>
      <c r="C1" s="1" t="s">
        <v>1</v>
      </c>
      <c r="D1">
        <f>SUM(D2:D101)</f>
        <v>71</v>
      </c>
      <c r="E1">
        <f>SUM(E2:E101)</f>
        <v>-26990238.2577837</v>
      </c>
      <c r="F1" s="1" t="s">
        <v>1</v>
      </c>
      <c r="G1" s="1" t="s">
        <v>0</v>
      </c>
      <c r="H1">
        <f>SUM(H2:H101)</f>
        <v>64</v>
      </c>
      <c r="I1">
        <f>SUM(I2:I101)</f>
        <v>-2875570.1318180473</v>
      </c>
      <c r="J1" s="1" t="s">
        <v>102</v>
      </c>
      <c r="K1" s="1" t="s">
        <v>103</v>
      </c>
    </row>
    <row r="2" spans="1:11" x14ac:dyDescent="0.35">
      <c r="A2" s="1" t="s">
        <v>2</v>
      </c>
      <c r="B2">
        <v>862369.28509406652</v>
      </c>
      <c r="C2">
        <v>6787.476845151954</v>
      </c>
      <c r="D2">
        <f>IF(B2&gt;C2,1,0)</f>
        <v>1</v>
      </c>
      <c r="E2">
        <f>C2-B2</f>
        <v>-855581.80824891455</v>
      </c>
      <c r="F2">
        <v>341.75757575757581</v>
      </c>
      <c r="G2">
        <v>25704.561110183298</v>
      </c>
      <c r="H2">
        <f>IF(F2&lt;G2,1,0)</f>
        <v>1</v>
      </c>
      <c r="I2">
        <f>F2-G2</f>
        <v>-25362.803534425722</v>
      </c>
      <c r="J2">
        <f>B2+G2</f>
        <v>888073.84620424977</v>
      </c>
      <c r="K2">
        <f>C2+F2</f>
        <v>7129.2344209095299</v>
      </c>
    </row>
    <row r="3" spans="1:11" x14ac:dyDescent="0.35">
      <c r="A3" s="1" t="s">
        <v>3</v>
      </c>
      <c r="B3">
        <v>767320.19842829078</v>
      </c>
      <c r="C3">
        <v>883241.46758349705</v>
      </c>
      <c r="D3">
        <f t="shared" ref="D3:D66" si="0">IF(B3&gt;C3,1,0)</f>
        <v>0</v>
      </c>
      <c r="E3">
        <f t="shared" ref="E3:E66" si="1">C3-B3</f>
        <v>115921.26915520628</v>
      </c>
      <c r="F3">
        <v>879784.08366533858</v>
      </c>
      <c r="G3">
        <v>746881.89276228414</v>
      </c>
      <c r="H3">
        <f t="shared" ref="H3:H66" si="2">IF(F3&lt;G3,1,0)</f>
        <v>0</v>
      </c>
      <c r="I3">
        <f t="shared" ref="I3:I66" si="3">F3-G3</f>
        <v>132902.19090305443</v>
      </c>
      <c r="J3">
        <f t="shared" ref="J3:J66" si="4">B3+G3</f>
        <v>1514202.0911905749</v>
      </c>
      <c r="K3">
        <f t="shared" ref="K3:K66" si="5">C3+F3</f>
        <v>1763025.5512488356</v>
      </c>
    </row>
    <row r="4" spans="1:11" x14ac:dyDescent="0.35">
      <c r="A4" s="1" t="s">
        <v>4</v>
      </c>
      <c r="B4">
        <v>1394055.401526717</v>
      </c>
      <c r="C4">
        <v>443044.50154200132</v>
      </c>
      <c r="D4">
        <f t="shared" si="0"/>
        <v>1</v>
      </c>
      <c r="E4">
        <f t="shared" si="1"/>
        <v>-951010.89998471574</v>
      </c>
      <c r="F4">
        <v>286789.52767527668</v>
      </c>
      <c r="G4">
        <v>477997.85519389203</v>
      </c>
      <c r="H4">
        <f t="shared" si="2"/>
        <v>1</v>
      </c>
      <c r="I4">
        <f t="shared" si="3"/>
        <v>-191208.32751861535</v>
      </c>
      <c r="J4">
        <f t="shared" si="4"/>
        <v>1872053.256720609</v>
      </c>
      <c r="K4">
        <f t="shared" si="5"/>
        <v>729834.029217278</v>
      </c>
    </row>
    <row r="5" spans="1:11" x14ac:dyDescent="0.35">
      <c r="A5" s="1" t="s">
        <v>5</v>
      </c>
      <c r="B5">
        <v>134758.55072463769</v>
      </c>
      <c r="C5">
        <v>340241.8486714976</v>
      </c>
      <c r="D5">
        <f t="shared" si="0"/>
        <v>0</v>
      </c>
      <c r="E5">
        <f t="shared" si="1"/>
        <v>205483.29794685991</v>
      </c>
      <c r="F5">
        <v>310741.30303030298</v>
      </c>
      <c r="G5">
        <v>107897.2966176921</v>
      </c>
      <c r="H5">
        <f t="shared" si="2"/>
        <v>0</v>
      </c>
      <c r="I5">
        <f t="shared" si="3"/>
        <v>202844.00641261088</v>
      </c>
      <c r="J5">
        <f t="shared" si="4"/>
        <v>242655.8473423298</v>
      </c>
      <c r="K5">
        <f t="shared" si="5"/>
        <v>650983.15170180053</v>
      </c>
    </row>
    <row r="6" spans="1:11" x14ac:dyDescent="0.35">
      <c r="A6" s="1" t="s">
        <v>6</v>
      </c>
      <c r="B6">
        <v>1300335.9604316549</v>
      </c>
      <c r="C6">
        <v>723470.14328537171</v>
      </c>
      <c r="D6">
        <f t="shared" si="0"/>
        <v>1</v>
      </c>
      <c r="E6">
        <f t="shared" si="1"/>
        <v>-576865.81714628323</v>
      </c>
      <c r="F6">
        <v>720223.75957727875</v>
      </c>
      <c r="G6">
        <v>1126771.2520915889</v>
      </c>
      <c r="H6">
        <f t="shared" si="2"/>
        <v>1</v>
      </c>
      <c r="I6">
        <f t="shared" si="3"/>
        <v>-406547.49251431017</v>
      </c>
      <c r="J6">
        <f t="shared" si="4"/>
        <v>2427107.2125232439</v>
      </c>
      <c r="K6">
        <f t="shared" si="5"/>
        <v>1443693.9028626503</v>
      </c>
    </row>
    <row r="7" spans="1:11" x14ac:dyDescent="0.35">
      <c r="A7" s="1" t="s">
        <v>7</v>
      </c>
      <c r="B7">
        <v>1212855.700434153</v>
      </c>
      <c r="C7">
        <v>1485422.109503136</v>
      </c>
      <c r="D7">
        <f t="shared" si="0"/>
        <v>0</v>
      </c>
      <c r="E7">
        <f t="shared" si="1"/>
        <v>272566.40906898305</v>
      </c>
      <c r="F7">
        <v>1586349.528995757</v>
      </c>
      <c r="G7">
        <v>1177952.5997171151</v>
      </c>
      <c r="H7">
        <f t="shared" si="2"/>
        <v>0</v>
      </c>
      <c r="I7">
        <f t="shared" si="3"/>
        <v>408396.92927864194</v>
      </c>
      <c r="J7">
        <f t="shared" si="4"/>
        <v>2390808.300151268</v>
      </c>
      <c r="K7">
        <f t="shared" si="5"/>
        <v>3071771.638498893</v>
      </c>
    </row>
    <row r="8" spans="1:11" x14ac:dyDescent="0.35">
      <c r="A8" s="1" t="s">
        <v>8</v>
      </c>
      <c r="B8">
        <v>933988.14693877555</v>
      </c>
      <c r="C8">
        <v>1280007.2738322001</v>
      </c>
      <c r="D8">
        <f t="shared" si="0"/>
        <v>0</v>
      </c>
      <c r="E8">
        <f t="shared" si="1"/>
        <v>346019.12689342455</v>
      </c>
      <c r="F8">
        <v>1557248.545023697</v>
      </c>
      <c r="G8">
        <v>932581.90837282781</v>
      </c>
      <c r="H8">
        <f t="shared" si="2"/>
        <v>0</v>
      </c>
      <c r="I8">
        <f t="shared" si="3"/>
        <v>624666.63665086916</v>
      </c>
      <c r="J8">
        <f t="shared" si="4"/>
        <v>1866570.0553116035</v>
      </c>
      <c r="K8">
        <f t="shared" si="5"/>
        <v>2837255.8188558971</v>
      </c>
    </row>
    <row r="9" spans="1:11" x14ac:dyDescent="0.35">
      <c r="A9" s="1" t="s">
        <v>9</v>
      </c>
      <c r="B9">
        <v>824796.40116279072</v>
      </c>
      <c r="C9">
        <v>2120.25</v>
      </c>
      <c r="D9">
        <f t="shared" si="0"/>
        <v>1</v>
      </c>
      <c r="E9">
        <f t="shared" si="1"/>
        <v>-822676.15116279072</v>
      </c>
      <c r="F9">
        <v>204.32</v>
      </c>
      <c r="G9">
        <v>15547.04889153676</v>
      </c>
      <c r="H9">
        <f t="shared" si="2"/>
        <v>1</v>
      </c>
      <c r="I9">
        <f t="shared" si="3"/>
        <v>-15342.728891536761</v>
      </c>
      <c r="J9">
        <f t="shared" si="4"/>
        <v>840343.45005432749</v>
      </c>
      <c r="K9">
        <f t="shared" si="5"/>
        <v>2324.5700000000002</v>
      </c>
    </row>
    <row r="10" spans="1:11" x14ac:dyDescent="0.35">
      <c r="A10" s="1" t="s">
        <v>10</v>
      </c>
      <c r="B10">
        <v>715321.12403100776</v>
      </c>
      <c r="C10">
        <v>39405.624192506461</v>
      </c>
      <c r="D10">
        <f t="shared" si="0"/>
        <v>1</v>
      </c>
      <c r="E10">
        <f t="shared" si="1"/>
        <v>-675915.49983850133</v>
      </c>
      <c r="F10">
        <v>8560.4264705882342</v>
      </c>
      <c r="G10">
        <v>226575.99261704681</v>
      </c>
      <c r="H10">
        <f t="shared" si="2"/>
        <v>1</v>
      </c>
      <c r="I10">
        <f t="shared" si="3"/>
        <v>-218015.56614645859</v>
      </c>
      <c r="J10">
        <f t="shared" si="4"/>
        <v>941897.11664805457</v>
      </c>
      <c r="K10">
        <f t="shared" si="5"/>
        <v>47966.050663094691</v>
      </c>
    </row>
    <row r="11" spans="1:11" x14ac:dyDescent="0.35">
      <c r="A11" s="1" t="s">
        <v>11</v>
      </c>
      <c r="B11">
        <v>1317851.987804878</v>
      </c>
      <c r="C11">
        <v>1081102.9223125561</v>
      </c>
      <c r="D11">
        <f t="shared" si="0"/>
        <v>1</v>
      </c>
      <c r="E11">
        <f t="shared" si="1"/>
        <v>-236749.06549232197</v>
      </c>
      <c r="F11">
        <v>1117713.307588076</v>
      </c>
      <c r="G11">
        <v>1269646.4338301721</v>
      </c>
      <c r="H11">
        <f t="shared" si="2"/>
        <v>1</v>
      </c>
      <c r="I11">
        <f t="shared" si="3"/>
        <v>-151933.12624209607</v>
      </c>
      <c r="J11">
        <f t="shared" si="4"/>
        <v>2587498.4216350503</v>
      </c>
      <c r="K11">
        <f t="shared" si="5"/>
        <v>2198816.2299006321</v>
      </c>
    </row>
    <row r="12" spans="1:11" x14ac:dyDescent="0.35">
      <c r="A12" s="1" t="s">
        <v>12</v>
      </c>
      <c r="B12">
        <v>1139987.018270402</v>
      </c>
      <c r="C12">
        <v>1201797.48091758</v>
      </c>
      <c r="D12">
        <f t="shared" si="0"/>
        <v>0</v>
      </c>
      <c r="E12">
        <f t="shared" si="1"/>
        <v>61810.462647177977</v>
      </c>
      <c r="F12">
        <v>1269863.75</v>
      </c>
      <c r="G12">
        <v>1124003.7644154821</v>
      </c>
      <c r="H12">
        <f t="shared" si="2"/>
        <v>0</v>
      </c>
      <c r="I12">
        <f t="shared" si="3"/>
        <v>145859.98558451794</v>
      </c>
      <c r="J12">
        <f t="shared" si="4"/>
        <v>2263990.7826858843</v>
      </c>
      <c r="K12">
        <f t="shared" si="5"/>
        <v>2471661.23091758</v>
      </c>
    </row>
    <row r="13" spans="1:11" x14ac:dyDescent="0.35">
      <c r="A13" s="1" t="s">
        <v>13</v>
      </c>
      <c r="B13">
        <v>943576.66797642433</v>
      </c>
      <c r="C13">
        <v>694386.60609037336</v>
      </c>
      <c r="D13">
        <f t="shared" si="0"/>
        <v>1</v>
      </c>
      <c r="E13">
        <f t="shared" si="1"/>
        <v>-249190.06188605097</v>
      </c>
      <c r="F13">
        <v>694962.95390781562</v>
      </c>
      <c r="G13">
        <v>910305.33567134268</v>
      </c>
      <c r="H13">
        <f t="shared" si="2"/>
        <v>1</v>
      </c>
      <c r="I13">
        <f t="shared" si="3"/>
        <v>-215342.38176352705</v>
      </c>
      <c r="J13">
        <f t="shared" si="4"/>
        <v>1853882.003647767</v>
      </c>
      <c r="K13">
        <f t="shared" si="5"/>
        <v>1389349.5599981891</v>
      </c>
    </row>
    <row r="14" spans="1:11" x14ac:dyDescent="0.35">
      <c r="A14" s="1" t="s">
        <v>14</v>
      </c>
      <c r="B14">
        <v>916095.45983935741</v>
      </c>
      <c r="C14">
        <v>918838.57228915661</v>
      </c>
      <c r="D14">
        <f t="shared" si="0"/>
        <v>0</v>
      </c>
      <c r="E14">
        <f t="shared" si="1"/>
        <v>2743.1124497991987</v>
      </c>
      <c r="F14">
        <v>963221.85940594063</v>
      </c>
      <c r="G14">
        <v>875404.7633663367</v>
      </c>
      <c r="H14">
        <f t="shared" si="2"/>
        <v>0</v>
      </c>
      <c r="I14">
        <f t="shared" si="3"/>
        <v>87817.09603960393</v>
      </c>
      <c r="J14">
        <f t="shared" si="4"/>
        <v>1791500.223205694</v>
      </c>
      <c r="K14">
        <f t="shared" si="5"/>
        <v>1882060.4316950971</v>
      </c>
    </row>
    <row r="15" spans="1:11" x14ac:dyDescent="0.35">
      <c r="A15" s="1" t="s">
        <v>15</v>
      </c>
      <c r="B15">
        <v>364354.66666666663</v>
      </c>
      <c r="C15">
        <v>1872.1422466422471</v>
      </c>
      <c r="D15">
        <f t="shared" si="0"/>
        <v>1</v>
      </c>
      <c r="E15">
        <f t="shared" si="1"/>
        <v>-362482.52442002436</v>
      </c>
      <c r="F15">
        <v>75.891891891891888</v>
      </c>
      <c r="G15">
        <v>18099.200850371551</v>
      </c>
      <c r="H15">
        <f t="shared" si="2"/>
        <v>1</v>
      </c>
      <c r="I15">
        <f t="shared" si="3"/>
        <v>-18023.308958479658</v>
      </c>
      <c r="J15">
        <f t="shared" si="4"/>
        <v>382453.86751703819</v>
      </c>
      <c r="K15">
        <f t="shared" si="5"/>
        <v>1948.0341385341389</v>
      </c>
    </row>
    <row r="16" spans="1:11" x14ac:dyDescent="0.35">
      <c r="A16" s="1" t="s">
        <v>16</v>
      </c>
      <c r="B16">
        <v>1012808.0929648241</v>
      </c>
      <c r="C16">
        <v>877335.14216917928</v>
      </c>
      <c r="D16">
        <f t="shared" si="0"/>
        <v>1</v>
      </c>
      <c r="E16">
        <f t="shared" si="1"/>
        <v>-135472.95079564478</v>
      </c>
      <c r="F16">
        <v>969635.31734317343</v>
      </c>
      <c r="G16">
        <v>925077.41174661741</v>
      </c>
      <c r="H16">
        <f t="shared" si="2"/>
        <v>0</v>
      </c>
      <c r="I16">
        <f t="shared" si="3"/>
        <v>44557.905596556026</v>
      </c>
      <c r="J16">
        <f t="shared" si="4"/>
        <v>1937885.5047114415</v>
      </c>
      <c r="K16">
        <f t="shared" si="5"/>
        <v>1846970.4595123527</v>
      </c>
    </row>
    <row r="17" spans="1:11" x14ac:dyDescent="0.35">
      <c r="A17" s="1" t="s">
        <v>17</v>
      </c>
      <c r="B17">
        <v>1036207.473372781</v>
      </c>
      <c r="C17">
        <v>741947.48915187374</v>
      </c>
      <c r="D17">
        <f t="shared" si="0"/>
        <v>1</v>
      </c>
      <c r="E17">
        <f t="shared" si="1"/>
        <v>-294259.98422090721</v>
      </c>
      <c r="F17">
        <v>739275.76753507019</v>
      </c>
      <c r="G17">
        <v>1002464.023714095</v>
      </c>
      <c r="H17">
        <f t="shared" si="2"/>
        <v>1</v>
      </c>
      <c r="I17">
        <f t="shared" si="3"/>
        <v>-263188.25617902481</v>
      </c>
      <c r="J17">
        <f t="shared" si="4"/>
        <v>2038671.4970868761</v>
      </c>
      <c r="K17">
        <f t="shared" si="5"/>
        <v>1481223.256686944</v>
      </c>
    </row>
    <row r="18" spans="1:11" x14ac:dyDescent="0.35">
      <c r="A18" s="1" t="s">
        <v>18</v>
      </c>
      <c r="B18">
        <v>939899.62124248501</v>
      </c>
      <c r="C18">
        <v>998397.94589178357</v>
      </c>
      <c r="D18">
        <f t="shared" si="0"/>
        <v>0</v>
      </c>
      <c r="E18">
        <f t="shared" si="1"/>
        <v>58498.324649298564</v>
      </c>
      <c r="F18">
        <v>1072431.9143968869</v>
      </c>
      <c r="G18">
        <v>927073.7976653697</v>
      </c>
      <c r="H18">
        <f t="shared" si="2"/>
        <v>0</v>
      </c>
      <c r="I18">
        <f t="shared" si="3"/>
        <v>145358.11673151725</v>
      </c>
      <c r="J18">
        <f t="shared" si="4"/>
        <v>1866973.4189078547</v>
      </c>
      <c r="K18">
        <f t="shared" si="5"/>
        <v>2070829.8602886705</v>
      </c>
    </row>
    <row r="19" spans="1:11" x14ac:dyDescent="0.35">
      <c r="A19" s="1" t="s">
        <v>19</v>
      </c>
      <c r="B19">
        <v>675484.55989583337</v>
      </c>
      <c r="C19">
        <v>784123.30837673612</v>
      </c>
      <c r="D19">
        <f t="shared" si="0"/>
        <v>0</v>
      </c>
      <c r="E19">
        <f t="shared" si="1"/>
        <v>108638.74848090275</v>
      </c>
      <c r="F19">
        <v>856925.62921348307</v>
      </c>
      <c r="G19">
        <v>662318.52309612988</v>
      </c>
      <c r="H19">
        <f t="shared" si="2"/>
        <v>0</v>
      </c>
      <c r="I19">
        <f t="shared" si="3"/>
        <v>194607.10611735319</v>
      </c>
      <c r="J19">
        <f t="shared" si="4"/>
        <v>1337803.0829919633</v>
      </c>
      <c r="K19">
        <f t="shared" si="5"/>
        <v>1641048.9375902191</v>
      </c>
    </row>
    <row r="20" spans="1:11" x14ac:dyDescent="0.35">
      <c r="A20" s="1" t="s">
        <v>20</v>
      </c>
      <c r="B20">
        <v>498262.19092331768</v>
      </c>
      <c r="C20">
        <v>19559.916014606151</v>
      </c>
      <c r="D20">
        <f t="shared" si="0"/>
        <v>1</v>
      </c>
      <c r="E20">
        <f t="shared" si="1"/>
        <v>-478702.27490871155</v>
      </c>
      <c r="F20">
        <v>4048.0339805825238</v>
      </c>
      <c r="G20">
        <v>115316.8951591154</v>
      </c>
      <c r="H20">
        <f t="shared" si="2"/>
        <v>1</v>
      </c>
      <c r="I20">
        <f t="shared" si="3"/>
        <v>-111268.86117853288</v>
      </c>
      <c r="J20">
        <f t="shared" si="4"/>
        <v>613579.08608243312</v>
      </c>
      <c r="K20">
        <f t="shared" si="5"/>
        <v>23607.949995188676</v>
      </c>
    </row>
    <row r="21" spans="1:11" x14ac:dyDescent="0.35">
      <c r="A21" s="1" t="s">
        <v>21</v>
      </c>
      <c r="B21">
        <v>1297287.212481427</v>
      </c>
      <c r="C21">
        <v>1163308.3504988321</v>
      </c>
      <c r="D21">
        <f t="shared" si="0"/>
        <v>1</v>
      </c>
      <c r="E21">
        <f t="shared" si="1"/>
        <v>-133978.86198259494</v>
      </c>
      <c r="F21">
        <v>1443968.0316055629</v>
      </c>
      <c r="G21">
        <v>1398656.4833544041</v>
      </c>
      <c r="H21">
        <f t="shared" si="2"/>
        <v>0</v>
      </c>
      <c r="I21">
        <f t="shared" si="3"/>
        <v>45311.548251158791</v>
      </c>
      <c r="J21">
        <f t="shared" si="4"/>
        <v>2695943.6958358311</v>
      </c>
      <c r="K21">
        <f t="shared" si="5"/>
        <v>2607276.382104395</v>
      </c>
    </row>
    <row r="22" spans="1:11" x14ac:dyDescent="0.35">
      <c r="A22" s="1" t="s">
        <v>22</v>
      </c>
      <c r="B22">
        <v>816065.20198019804</v>
      </c>
      <c r="C22">
        <v>718069.51980198023</v>
      </c>
      <c r="D22">
        <f t="shared" si="0"/>
        <v>1</v>
      </c>
      <c r="E22">
        <f t="shared" si="1"/>
        <v>-97995.682178217801</v>
      </c>
      <c r="F22">
        <v>732859.32128514058</v>
      </c>
      <c r="G22">
        <v>809896.99230254348</v>
      </c>
      <c r="H22">
        <f t="shared" si="2"/>
        <v>1</v>
      </c>
      <c r="I22">
        <f t="shared" si="3"/>
        <v>-77037.671017402899</v>
      </c>
      <c r="J22">
        <f t="shared" si="4"/>
        <v>1625962.1942827415</v>
      </c>
      <c r="K22">
        <f t="shared" si="5"/>
        <v>1450928.8410871208</v>
      </c>
    </row>
    <row r="23" spans="1:11" x14ac:dyDescent="0.35">
      <c r="A23" s="1" t="s">
        <v>23</v>
      </c>
      <c r="B23">
        <v>622142.14922813035</v>
      </c>
      <c r="C23">
        <v>62146.269296740997</v>
      </c>
      <c r="D23">
        <f t="shared" si="0"/>
        <v>1</v>
      </c>
      <c r="E23">
        <f t="shared" si="1"/>
        <v>-559995.87993138935</v>
      </c>
      <c r="F23">
        <v>10121.656716417911</v>
      </c>
      <c r="G23">
        <v>129010.9537550013</v>
      </c>
      <c r="H23">
        <f t="shared" si="2"/>
        <v>1</v>
      </c>
      <c r="I23">
        <f t="shared" si="3"/>
        <v>-118889.29703858339</v>
      </c>
      <c r="J23">
        <f t="shared" si="4"/>
        <v>751153.10298313166</v>
      </c>
      <c r="K23">
        <f t="shared" si="5"/>
        <v>72267.926013158911</v>
      </c>
    </row>
    <row r="24" spans="1:11" x14ac:dyDescent="0.35">
      <c r="A24" s="1" t="s">
        <v>24</v>
      </c>
      <c r="B24">
        <v>810138.41020793957</v>
      </c>
      <c r="C24">
        <v>615100.31947069941</v>
      </c>
      <c r="D24">
        <f t="shared" si="0"/>
        <v>1</v>
      </c>
      <c r="E24">
        <f t="shared" si="1"/>
        <v>-195038.09073724016</v>
      </c>
      <c r="F24">
        <v>588101.04339250491</v>
      </c>
      <c r="G24">
        <v>735313.4135437212</v>
      </c>
      <c r="H24">
        <f t="shared" si="2"/>
        <v>1</v>
      </c>
      <c r="I24">
        <f t="shared" si="3"/>
        <v>-147212.37015121628</v>
      </c>
      <c r="J24">
        <f t="shared" si="4"/>
        <v>1545451.8237516608</v>
      </c>
      <c r="K24">
        <f t="shared" si="5"/>
        <v>1203201.3628632044</v>
      </c>
    </row>
    <row r="25" spans="1:11" x14ac:dyDescent="0.35">
      <c r="A25" s="1" t="s">
        <v>25</v>
      </c>
      <c r="B25">
        <v>1143620.438247012</v>
      </c>
      <c r="C25">
        <v>893285.14641434257</v>
      </c>
      <c r="D25">
        <f t="shared" si="0"/>
        <v>1</v>
      </c>
      <c r="E25">
        <f t="shared" si="1"/>
        <v>-250335.29183266941</v>
      </c>
      <c r="F25">
        <v>913961.85940594063</v>
      </c>
      <c r="G25">
        <v>1100607.1910891091</v>
      </c>
      <c r="H25">
        <f t="shared" si="2"/>
        <v>1</v>
      </c>
      <c r="I25">
        <f t="shared" si="3"/>
        <v>-186645.33168316842</v>
      </c>
      <c r="J25">
        <f t="shared" si="4"/>
        <v>2244227.629336121</v>
      </c>
      <c r="K25">
        <f t="shared" si="5"/>
        <v>1807247.0058202832</v>
      </c>
    </row>
    <row r="26" spans="1:11" x14ac:dyDescent="0.35">
      <c r="A26" s="1" t="s">
        <v>26</v>
      </c>
      <c r="B26">
        <v>1005192.126</v>
      </c>
      <c r="C26">
        <v>854172.88699999999</v>
      </c>
      <c r="D26">
        <f t="shared" si="0"/>
        <v>1</v>
      </c>
      <c r="E26">
        <f t="shared" si="1"/>
        <v>-151019.23900000006</v>
      </c>
      <c r="F26">
        <v>881060.28514056222</v>
      </c>
      <c r="G26">
        <v>926118.62918340019</v>
      </c>
      <c r="H26">
        <f t="shared" si="2"/>
        <v>1</v>
      </c>
      <c r="I26">
        <f t="shared" si="3"/>
        <v>-45058.344042837969</v>
      </c>
      <c r="J26">
        <f t="shared" si="4"/>
        <v>1931310.7551834001</v>
      </c>
      <c r="K26">
        <f t="shared" si="5"/>
        <v>1735233.1721405622</v>
      </c>
    </row>
    <row r="27" spans="1:11" x14ac:dyDescent="0.35">
      <c r="A27" s="1" t="s">
        <v>27</v>
      </c>
      <c r="B27">
        <v>822638.44855967071</v>
      </c>
      <c r="C27">
        <v>988887.44855967083</v>
      </c>
      <c r="D27">
        <f t="shared" si="0"/>
        <v>0</v>
      </c>
      <c r="E27">
        <f t="shared" si="1"/>
        <v>166249.00000000012</v>
      </c>
      <c r="F27">
        <v>1080171.81793842</v>
      </c>
      <c r="G27">
        <v>805344.63810798759</v>
      </c>
      <c r="H27">
        <f t="shared" si="2"/>
        <v>0</v>
      </c>
      <c r="I27">
        <f t="shared" si="3"/>
        <v>274827.1798304324</v>
      </c>
      <c r="J27">
        <f t="shared" si="4"/>
        <v>1627983.0866676583</v>
      </c>
      <c r="K27">
        <f t="shared" si="5"/>
        <v>2069059.2664980907</v>
      </c>
    </row>
    <row r="28" spans="1:11" x14ac:dyDescent="0.35">
      <c r="A28" s="1" t="s">
        <v>28</v>
      </c>
      <c r="B28">
        <v>728490.49613899621</v>
      </c>
      <c r="C28">
        <v>294794.24436936929</v>
      </c>
      <c r="D28">
        <f t="shared" si="0"/>
        <v>1</v>
      </c>
      <c r="E28">
        <f t="shared" si="1"/>
        <v>-433696.25176962692</v>
      </c>
      <c r="F28">
        <v>199772.30696202529</v>
      </c>
      <c r="G28">
        <v>487656.352787824</v>
      </c>
      <c r="H28">
        <f t="shared" si="2"/>
        <v>1</v>
      </c>
      <c r="I28">
        <f t="shared" si="3"/>
        <v>-287884.0458257987</v>
      </c>
      <c r="J28">
        <f t="shared" si="4"/>
        <v>1216146.8489268203</v>
      </c>
      <c r="K28">
        <f t="shared" si="5"/>
        <v>494566.55133139458</v>
      </c>
    </row>
    <row r="29" spans="1:11" x14ac:dyDescent="0.35">
      <c r="A29" s="1" t="s">
        <v>29</v>
      </c>
      <c r="B29">
        <v>326428.48407643312</v>
      </c>
      <c r="C29">
        <v>36987.714791224338</v>
      </c>
      <c r="D29">
        <f t="shared" si="0"/>
        <v>1</v>
      </c>
      <c r="E29">
        <f t="shared" si="1"/>
        <v>-289440.76928520878</v>
      </c>
      <c r="F29">
        <v>9054.0454545454559</v>
      </c>
      <c r="G29">
        <v>105753.1202997814</v>
      </c>
      <c r="H29">
        <f t="shared" si="2"/>
        <v>1</v>
      </c>
      <c r="I29">
        <f t="shared" si="3"/>
        <v>-96699.07484523594</v>
      </c>
      <c r="J29">
        <f t="shared" si="4"/>
        <v>432181.6043762145</v>
      </c>
      <c r="K29">
        <f t="shared" si="5"/>
        <v>46041.760245769794</v>
      </c>
    </row>
    <row r="30" spans="1:11" x14ac:dyDescent="0.35">
      <c r="A30" s="1" t="s">
        <v>30</v>
      </c>
      <c r="B30">
        <v>1259870.2815699661</v>
      </c>
      <c r="C30">
        <v>854.87531285551756</v>
      </c>
      <c r="D30">
        <f t="shared" si="0"/>
        <v>1</v>
      </c>
      <c r="E30">
        <f t="shared" si="1"/>
        <v>-1259015.4062571106</v>
      </c>
      <c r="F30">
        <v>12.5</v>
      </c>
      <c r="G30">
        <v>2900.8831018518522</v>
      </c>
      <c r="H30">
        <f t="shared" si="2"/>
        <v>1</v>
      </c>
      <c r="I30">
        <f t="shared" si="3"/>
        <v>-2888.3831018518522</v>
      </c>
      <c r="J30">
        <f t="shared" si="4"/>
        <v>1262771.164671818</v>
      </c>
      <c r="K30">
        <f t="shared" si="5"/>
        <v>867.37531285551756</v>
      </c>
    </row>
    <row r="31" spans="1:11" x14ac:dyDescent="0.35">
      <c r="A31" s="1" t="s">
        <v>31</v>
      </c>
      <c r="B31">
        <v>1169007.7741935479</v>
      </c>
      <c r="C31">
        <v>994569.23636001593</v>
      </c>
      <c r="D31">
        <f t="shared" si="0"/>
        <v>1</v>
      </c>
      <c r="E31">
        <f t="shared" si="1"/>
        <v>-174438.53783353197</v>
      </c>
      <c r="F31">
        <v>1043012.547560976</v>
      </c>
      <c r="G31">
        <v>1063207.180284553</v>
      </c>
      <c r="H31">
        <f t="shared" si="2"/>
        <v>1</v>
      </c>
      <c r="I31">
        <f t="shared" si="3"/>
        <v>-20194.632723576971</v>
      </c>
      <c r="J31">
        <f t="shared" si="4"/>
        <v>2232214.9544781009</v>
      </c>
      <c r="K31">
        <f t="shared" si="5"/>
        <v>2037581.7839209919</v>
      </c>
    </row>
    <row r="32" spans="1:11" x14ac:dyDescent="0.35">
      <c r="A32" s="1" t="s">
        <v>32</v>
      </c>
      <c r="B32">
        <v>1130895.963190184</v>
      </c>
      <c r="C32">
        <v>79241.03394683027</v>
      </c>
      <c r="D32">
        <f t="shared" si="0"/>
        <v>1</v>
      </c>
      <c r="E32">
        <f t="shared" si="1"/>
        <v>-1051654.9292433537</v>
      </c>
      <c r="F32">
        <v>38520.853333333333</v>
      </c>
      <c r="G32">
        <v>307845.02076025947</v>
      </c>
      <c r="H32">
        <f t="shared" si="2"/>
        <v>1</v>
      </c>
      <c r="I32">
        <f t="shared" si="3"/>
        <v>-269324.16742692614</v>
      </c>
      <c r="J32">
        <f t="shared" si="4"/>
        <v>1438740.9839504436</v>
      </c>
      <c r="K32">
        <f t="shared" si="5"/>
        <v>117761.8872801636</v>
      </c>
    </row>
    <row r="33" spans="1:11" x14ac:dyDescent="0.35">
      <c r="A33" s="1" t="s">
        <v>33</v>
      </c>
      <c r="B33">
        <v>225446.03536345769</v>
      </c>
      <c r="C33">
        <v>14281.24950884087</v>
      </c>
      <c r="D33">
        <f t="shared" si="0"/>
        <v>1</v>
      </c>
      <c r="E33">
        <f t="shared" si="1"/>
        <v>-211164.78585461681</v>
      </c>
      <c r="F33">
        <v>9182.1228070175439</v>
      </c>
      <c r="G33">
        <v>98204.089290935663</v>
      </c>
      <c r="H33">
        <f t="shared" si="2"/>
        <v>1</v>
      </c>
      <c r="I33">
        <f t="shared" si="3"/>
        <v>-89021.966483918121</v>
      </c>
      <c r="J33">
        <f t="shared" si="4"/>
        <v>323650.12465439335</v>
      </c>
      <c r="K33">
        <f t="shared" si="5"/>
        <v>23463.372315858414</v>
      </c>
    </row>
    <row r="34" spans="1:11" x14ac:dyDescent="0.35">
      <c r="A34" s="1" t="s">
        <v>34</v>
      </c>
      <c r="B34">
        <v>778917.48828125</v>
      </c>
      <c r="C34">
        <v>790798.93489583337</v>
      </c>
      <c r="D34">
        <f t="shared" si="0"/>
        <v>0</v>
      </c>
      <c r="E34">
        <f t="shared" si="1"/>
        <v>11881.446614583372</v>
      </c>
      <c r="F34">
        <v>815297.6483300589</v>
      </c>
      <c r="G34">
        <v>736874.57956778002</v>
      </c>
      <c r="H34">
        <f t="shared" si="2"/>
        <v>0</v>
      </c>
      <c r="I34">
        <f t="shared" si="3"/>
        <v>78423.068762278883</v>
      </c>
      <c r="J34">
        <f t="shared" si="4"/>
        <v>1515792.06784903</v>
      </c>
      <c r="K34">
        <f t="shared" si="5"/>
        <v>1606096.5832258924</v>
      </c>
    </row>
    <row r="35" spans="1:11" x14ac:dyDescent="0.35">
      <c r="A35" s="1" t="s">
        <v>35</v>
      </c>
      <c r="B35">
        <v>638212.25806451612</v>
      </c>
      <c r="C35">
        <v>748318.10450268816</v>
      </c>
      <c r="D35">
        <f t="shared" si="0"/>
        <v>0</v>
      </c>
      <c r="E35">
        <f t="shared" si="1"/>
        <v>110105.84643817204</v>
      </c>
      <c r="F35">
        <v>773116.91633466142</v>
      </c>
      <c r="G35">
        <v>615339.64641434257</v>
      </c>
      <c r="H35">
        <f t="shared" si="2"/>
        <v>0</v>
      </c>
      <c r="I35">
        <f t="shared" si="3"/>
        <v>157777.26992031885</v>
      </c>
      <c r="J35">
        <f t="shared" si="4"/>
        <v>1253551.9044788587</v>
      </c>
      <c r="K35">
        <f t="shared" si="5"/>
        <v>1521435.0208373496</v>
      </c>
    </row>
    <row r="36" spans="1:11" x14ac:dyDescent="0.35">
      <c r="A36" s="1" t="s">
        <v>36</v>
      </c>
      <c r="B36">
        <v>522316.958068615</v>
      </c>
      <c r="C36">
        <v>294864.27933079202</v>
      </c>
      <c r="D36">
        <f t="shared" si="0"/>
        <v>1</v>
      </c>
      <c r="E36">
        <f t="shared" si="1"/>
        <v>-227452.67873782298</v>
      </c>
      <c r="F36">
        <v>56922.582524271842</v>
      </c>
      <c r="G36">
        <v>66812.886428208818</v>
      </c>
      <c r="H36">
        <f t="shared" si="2"/>
        <v>1</v>
      </c>
      <c r="I36">
        <f t="shared" si="3"/>
        <v>-9890.303903936976</v>
      </c>
      <c r="J36">
        <f t="shared" si="4"/>
        <v>589129.84449682385</v>
      </c>
      <c r="K36">
        <f t="shared" si="5"/>
        <v>351786.86185506388</v>
      </c>
    </row>
    <row r="37" spans="1:11" x14ac:dyDescent="0.35">
      <c r="A37" s="1" t="s">
        <v>37</v>
      </c>
      <c r="B37">
        <v>702761.00587371516</v>
      </c>
      <c r="C37">
        <v>1050484.0675477239</v>
      </c>
      <c r="D37">
        <f t="shared" si="0"/>
        <v>0</v>
      </c>
      <c r="E37">
        <f t="shared" si="1"/>
        <v>347723.06167400873</v>
      </c>
      <c r="F37">
        <v>1101066.414388489</v>
      </c>
      <c r="G37">
        <v>727719.46858513192</v>
      </c>
      <c r="H37">
        <f t="shared" si="2"/>
        <v>0</v>
      </c>
      <c r="I37">
        <f t="shared" si="3"/>
        <v>373346.94580335706</v>
      </c>
      <c r="J37">
        <f t="shared" si="4"/>
        <v>1430480.4744588472</v>
      </c>
      <c r="K37">
        <f t="shared" si="5"/>
        <v>2151550.4819362126</v>
      </c>
    </row>
    <row r="38" spans="1:11" x14ac:dyDescent="0.35">
      <c r="A38" s="1" t="s">
        <v>38</v>
      </c>
      <c r="B38">
        <v>1036454.332023576</v>
      </c>
      <c r="C38">
        <v>728927.14931237721</v>
      </c>
      <c r="D38">
        <f t="shared" si="0"/>
        <v>1</v>
      </c>
      <c r="E38">
        <f t="shared" si="1"/>
        <v>-307527.18271119881</v>
      </c>
      <c r="F38">
        <v>758623.11</v>
      </c>
      <c r="G38">
        <v>985811.875</v>
      </c>
      <c r="H38">
        <f t="shared" si="2"/>
        <v>1</v>
      </c>
      <c r="I38">
        <f t="shared" si="3"/>
        <v>-227188.76500000001</v>
      </c>
      <c r="J38">
        <f t="shared" si="4"/>
        <v>2022266.2070235759</v>
      </c>
      <c r="K38">
        <f t="shared" si="5"/>
        <v>1487550.2593123773</v>
      </c>
    </row>
    <row r="39" spans="1:11" x14ac:dyDescent="0.35">
      <c r="A39" s="1" t="s">
        <v>39</v>
      </c>
      <c r="B39">
        <v>904319.20396039612</v>
      </c>
      <c r="C39">
        <v>512394.36237623758</v>
      </c>
      <c r="D39">
        <f t="shared" si="0"/>
        <v>1</v>
      </c>
      <c r="E39">
        <f t="shared" si="1"/>
        <v>-391924.84158415854</v>
      </c>
      <c r="F39">
        <v>523663.66064257029</v>
      </c>
      <c r="G39">
        <v>848492.2530120482</v>
      </c>
      <c r="H39">
        <f t="shared" si="2"/>
        <v>1</v>
      </c>
      <c r="I39">
        <f t="shared" si="3"/>
        <v>-324828.5923694779</v>
      </c>
      <c r="J39">
        <f t="shared" si="4"/>
        <v>1752811.4569724444</v>
      </c>
      <c r="K39">
        <f t="shared" si="5"/>
        <v>1036058.0230188079</v>
      </c>
    </row>
    <row r="40" spans="1:11" x14ac:dyDescent="0.35">
      <c r="A40" s="1" t="s">
        <v>40</v>
      </c>
      <c r="B40">
        <v>1185050.0657277</v>
      </c>
      <c r="C40">
        <v>48536.084115805948</v>
      </c>
      <c r="D40">
        <f t="shared" si="0"/>
        <v>1</v>
      </c>
      <c r="E40">
        <f t="shared" si="1"/>
        <v>-1136513.981611894</v>
      </c>
      <c r="F40">
        <v>28802.320284697511</v>
      </c>
      <c r="G40">
        <v>403517.19979209133</v>
      </c>
      <c r="H40">
        <f t="shared" si="2"/>
        <v>1</v>
      </c>
      <c r="I40">
        <f t="shared" si="3"/>
        <v>-374714.87950739381</v>
      </c>
      <c r="J40">
        <f t="shared" si="4"/>
        <v>1588567.2655197913</v>
      </c>
      <c r="K40">
        <f t="shared" si="5"/>
        <v>77338.404400503467</v>
      </c>
    </row>
    <row r="41" spans="1:11" x14ac:dyDescent="0.35">
      <c r="A41" s="1" t="s">
        <v>41</v>
      </c>
      <c r="B41">
        <v>1030389.115686274</v>
      </c>
      <c r="C41">
        <v>796256.535620915</v>
      </c>
      <c r="D41">
        <f t="shared" si="0"/>
        <v>1</v>
      </c>
      <c r="E41">
        <f t="shared" si="1"/>
        <v>-234132.58006535901</v>
      </c>
      <c r="F41">
        <v>791081.0285132383</v>
      </c>
      <c r="G41">
        <v>953160.0027155464</v>
      </c>
      <c r="H41">
        <f t="shared" si="2"/>
        <v>1</v>
      </c>
      <c r="I41">
        <f t="shared" si="3"/>
        <v>-162078.97420230811</v>
      </c>
      <c r="J41">
        <f t="shared" si="4"/>
        <v>1983549.1184018203</v>
      </c>
      <c r="K41">
        <f t="shared" si="5"/>
        <v>1587337.5641341533</v>
      </c>
    </row>
    <row r="42" spans="1:11" x14ac:dyDescent="0.35">
      <c r="A42" s="1" t="s">
        <v>42</v>
      </c>
      <c r="B42">
        <v>241863.6420454545</v>
      </c>
      <c r="C42">
        <v>43228.705176767668</v>
      </c>
      <c r="D42">
        <f t="shared" si="0"/>
        <v>1</v>
      </c>
      <c r="E42">
        <f t="shared" si="1"/>
        <v>-198634.93686868684</v>
      </c>
      <c r="F42">
        <v>26565.227979274609</v>
      </c>
      <c r="G42">
        <v>111307.52652870931</v>
      </c>
      <c r="H42">
        <f t="shared" si="2"/>
        <v>1</v>
      </c>
      <c r="I42">
        <f t="shared" si="3"/>
        <v>-84742.298549434694</v>
      </c>
      <c r="J42">
        <f t="shared" si="4"/>
        <v>353171.16857416381</v>
      </c>
      <c r="K42">
        <f t="shared" si="5"/>
        <v>69793.933156042272</v>
      </c>
    </row>
    <row r="43" spans="1:11" x14ac:dyDescent="0.35">
      <c r="A43" s="1" t="s">
        <v>43</v>
      </c>
      <c r="B43">
        <v>718483.27217741939</v>
      </c>
      <c r="C43">
        <v>833811.47748655919</v>
      </c>
      <c r="D43">
        <f t="shared" si="0"/>
        <v>0</v>
      </c>
      <c r="E43">
        <f t="shared" si="1"/>
        <v>115328.2053091398</v>
      </c>
      <c r="F43">
        <v>871662.25548902201</v>
      </c>
      <c r="G43">
        <v>696216.77677977388</v>
      </c>
      <c r="H43">
        <f t="shared" si="2"/>
        <v>0</v>
      </c>
      <c r="I43">
        <f t="shared" si="3"/>
        <v>175445.47870924813</v>
      </c>
      <c r="J43">
        <f t="shared" si="4"/>
        <v>1414700.0489571933</v>
      </c>
      <c r="K43">
        <f t="shared" si="5"/>
        <v>1705473.7329755812</v>
      </c>
    </row>
    <row r="44" spans="1:11" x14ac:dyDescent="0.35">
      <c r="A44" s="1" t="s">
        <v>44</v>
      </c>
      <c r="B44">
        <v>785359.07910750504</v>
      </c>
      <c r="C44">
        <v>726288.04259634891</v>
      </c>
      <c r="D44">
        <f t="shared" si="0"/>
        <v>1</v>
      </c>
      <c r="E44">
        <f t="shared" si="1"/>
        <v>-59071.036511156126</v>
      </c>
      <c r="F44">
        <v>744086.08366533858</v>
      </c>
      <c r="G44">
        <v>787658.90305444889</v>
      </c>
      <c r="H44">
        <f t="shared" si="2"/>
        <v>1</v>
      </c>
      <c r="I44">
        <f t="shared" si="3"/>
        <v>-43572.819389110315</v>
      </c>
      <c r="J44">
        <f t="shared" si="4"/>
        <v>1573017.982161954</v>
      </c>
      <c r="K44">
        <f t="shared" si="5"/>
        <v>1470374.1262616874</v>
      </c>
    </row>
    <row r="45" spans="1:11" x14ac:dyDescent="0.35">
      <c r="A45" s="1" t="s">
        <v>45</v>
      </c>
      <c r="B45">
        <v>949193.45068285288</v>
      </c>
      <c r="C45">
        <v>892230.44157814875</v>
      </c>
      <c r="D45">
        <f t="shared" si="0"/>
        <v>1</v>
      </c>
      <c r="E45">
        <f t="shared" si="1"/>
        <v>-56963.009104704135</v>
      </c>
      <c r="F45">
        <v>906806.59467918624</v>
      </c>
      <c r="G45">
        <v>844264.70344287949</v>
      </c>
      <c r="H45">
        <f t="shared" si="2"/>
        <v>0</v>
      </c>
      <c r="I45">
        <f t="shared" si="3"/>
        <v>62541.89123630675</v>
      </c>
      <c r="J45">
        <f t="shared" si="4"/>
        <v>1793458.1541257324</v>
      </c>
      <c r="K45">
        <f t="shared" si="5"/>
        <v>1799037.036257335</v>
      </c>
    </row>
    <row r="46" spans="1:11" x14ac:dyDescent="0.35">
      <c r="A46" s="1" t="s">
        <v>46</v>
      </c>
      <c r="B46">
        <v>642258.82926829276</v>
      </c>
      <c r="C46">
        <v>615951.30147921189</v>
      </c>
      <c r="D46">
        <f t="shared" si="0"/>
        <v>1</v>
      </c>
      <c r="E46">
        <f t="shared" si="1"/>
        <v>-26307.527789080865</v>
      </c>
      <c r="F46">
        <v>634827.37688442215</v>
      </c>
      <c r="G46">
        <v>584521.04723911965</v>
      </c>
      <c r="H46">
        <f t="shared" si="2"/>
        <v>0</v>
      </c>
      <c r="I46">
        <f t="shared" si="3"/>
        <v>50306.329645302496</v>
      </c>
      <c r="J46">
        <f t="shared" si="4"/>
        <v>1226779.8765074124</v>
      </c>
      <c r="K46">
        <f t="shared" si="5"/>
        <v>1250778.678363634</v>
      </c>
    </row>
    <row r="47" spans="1:11" x14ac:dyDescent="0.35">
      <c r="A47" s="1" t="s">
        <v>47</v>
      </c>
      <c r="B47">
        <v>960984.62230919767</v>
      </c>
      <c r="C47">
        <v>1099868.7844096541</v>
      </c>
      <c r="D47">
        <f t="shared" si="0"/>
        <v>0</v>
      </c>
      <c r="E47">
        <f t="shared" si="1"/>
        <v>138884.16210045642</v>
      </c>
      <c r="F47">
        <v>1136835.7098646029</v>
      </c>
      <c r="G47">
        <v>949822.20793036744</v>
      </c>
      <c r="H47">
        <f t="shared" si="2"/>
        <v>0</v>
      </c>
      <c r="I47">
        <f t="shared" si="3"/>
        <v>187013.50193423545</v>
      </c>
      <c r="J47">
        <f t="shared" si="4"/>
        <v>1910806.8302395651</v>
      </c>
      <c r="K47">
        <f t="shared" si="5"/>
        <v>2236704.4942742568</v>
      </c>
    </row>
    <row r="48" spans="1:11" x14ac:dyDescent="0.35">
      <c r="A48" s="1" t="s">
        <v>48</v>
      </c>
      <c r="B48">
        <v>522567.09724473249</v>
      </c>
      <c r="C48">
        <v>43879.516207455417</v>
      </c>
      <c r="D48">
        <f t="shared" si="0"/>
        <v>1</v>
      </c>
      <c r="E48">
        <f t="shared" si="1"/>
        <v>-478687.58103727706</v>
      </c>
      <c r="F48">
        <v>23610.641304347821</v>
      </c>
      <c r="G48">
        <v>166911.5362758548</v>
      </c>
      <c r="H48">
        <f t="shared" si="2"/>
        <v>1</v>
      </c>
      <c r="I48">
        <f t="shared" si="3"/>
        <v>-143300.89497150699</v>
      </c>
      <c r="J48">
        <f t="shared" si="4"/>
        <v>689478.63352058735</v>
      </c>
      <c r="K48">
        <f t="shared" si="5"/>
        <v>67490.157511803234</v>
      </c>
    </row>
    <row r="49" spans="1:11" x14ac:dyDescent="0.35">
      <c r="A49" s="1" t="s">
        <v>49</v>
      </c>
      <c r="B49">
        <v>1419503.973111396</v>
      </c>
      <c r="C49">
        <v>1082464.8117797701</v>
      </c>
      <c r="D49">
        <f t="shared" si="0"/>
        <v>1</v>
      </c>
      <c r="E49">
        <f t="shared" si="1"/>
        <v>-337039.16133162589</v>
      </c>
      <c r="F49">
        <v>1106142.5012886601</v>
      </c>
      <c r="G49">
        <v>1369285.0040807561</v>
      </c>
      <c r="H49">
        <f t="shared" si="2"/>
        <v>1</v>
      </c>
      <c r="I49">
        <f t="shared" si="3"/>
        <v>-263142.502792096</v>
      </c>
      <c r="J49">
        <f t="shared" si="4"/>
        <v>2788788.9771921523</v>
      </c>
      <c r="K49">
        <f t="shared" si="5"/>
        <v>2188607.3130684299</v>
      </c>
    </row>
    <row r="50" spans="1:11" x14ac:dyDescent="0.35">
      <c r="A50" s="1" t="s">
        <v>50</v>
      </c>
      <c r="B50">
        <v>2182335.9289544229</v>
      </c>
      <c r="C50">
        <v>1600182.17549151</v>
      </c>
      <c r="D50">
        <f t="shared" si="0"/>
        <v>1</v>
      </c>
      <c r="E50">
        <f t="shared" si="1"/>
        <v>-582153.75346291298</v>
      </c>
      <c r="F50">
        <v>1589678.9850948511</v>
      </c>
      <c r="G50">
        <v>2250509.8945347788</v>
      </c>
      <c r="H50">
        <f t="shared" si="2"/>
        <v>1</v>
      </c>
      <c r="I50">
        <f t="shared" si="3"/>
        <v>-660830.90943992767</v>
      </c>
      <c r="J50">
        <f t="shared" si="4"/>
        <v>4432845.8234892022</v>
      </c>
      <c r="K50">
        <f t="shared" si="5"/>
        <v>3189861.1605863608</v>
      </c>
    </row>
    <row r="51" spans="1:11" x14ac:dyDescent="0.35">
      <c r="A51" s="1" t="s">
        <v>51</v>
      </c>
      <c r="B51">
        <v>580590.49525616691</v>
      </c>
      <c r="C51">
        <v>607309.14041745733</v>
      </c>
      <c r="D51">
        <f t="shared" si="0"/>
        <v>0</v>
      </c>
      <c r="E51">
        <f t="shared" si="1"/>
        <v>26718.64516129042</v>
      </c>
      <c r="F51">
        <v>637095.54875717021</v>
      </c>
      <c r="G51">
        <v>554247.8706182281</v>
      </c>
      <c r="H51">
        <f t="shared" si="2"/>
        <v>0</v>
      </c>
      <c r="I51">
        <f t="shared" si="3"/>
        <v>82847.678138942108</v>
      </c>
      <c r="J51">
        <f t="shared" si="4"/>
        <v>1134838.365874395</v>
      </c>
      <c r="K51">
        <f t="shared" si="5"/>
        <v>1244404.6891746274</v>
      </c>
    </row>
    <row r="52" spans="1:11" x14ac:dyDescent="0.35">
      <c r="A52" s="1" t="s">
        <v>52</v>
      </c>
      <c r="B52">
        <v>391200.1856946355</v>
      </c>
      <c r="C52">
        <v>22900.89071526823</v>
      </c>
      <c r="D52">
        <f t="shared" si="0"/>
        <v>1</v>
      </c>
      <c r="E52">
        <f t="shared" si="1"/>
        <v>-368299.29497936729</v>
      </c>
      <c r="F52">
        <v>6798.6896551724139</v>
      </c>
      <c r="G52">
        <v>76960.486152763493</v>
      </c>
      <c r="H52">
        <f t="shared" si="2"/>
        <v>1</v>
      </c>
      <c r="I52">
        <f t="shared" si="3"/>
        <v>-70161.796497591073</v>
      </c>
      <c r="J52">
        <f t="shared" si="4"/>
        <v>468160.67184739897</v>
      </c>
      <c r="K52">
        <f t="shared" si="5"/>
        <v>29699.580370440643</v>
      </c>
    </row>
    <row r="53" spans="1:11" x14ac:dyDescent="0.35">
      <c r="A53" s="1" t="s">
        <v>53</v>
      </c>
      <c r="B53">
        <v>521354.21621621621</v>
      </c>
      <c r="C53">
        <v>612915.92072072066</v>
      </c>
      <c r="D53">
        <f t="shared" si="0"/>
        <v>0</v>
      </c>
      <c r="E53">
        <f t="shared" si="1"/>
        <v>91561.704504504451</v>
      </c>
      <c r="F53">
        <v>677558.89119170979</v>
      </c>
      <c r="G53">
        <v>507321.77515112271</v>
      </c>
      <c r="H53">
        <f t="shared" si="2"/>
        <v>0</v>
      </c>
      <c r="I53">
        <f t="shared" si="3"/>
        <v>170237.11604058708</v>
      </c>
      <c r="J53">
        <f t="shared" si="4"/>
        <v>1028675.9913673389</v>
      </c>
      <c r="K53">
        <f t="shared" si="5"/>
        <v>1290474.8119124305</v>
      </c>
    </row>
    <row r="54" spans="1:11" x14ac:dyDescent="0.35">
      <c r="A54" s="1" t="s">
        <v>54</v>
      </c>
      <c r="B54">
        <v>940793.19449901767</v>
      </c>
      <c r="C54">
        <v>791603.72593320231</v>
      </c>
      <c r="D54">
        <f t="shared" si="0"/>
        <v>1</v>
      </c>
      <c r="E54">
        <f t="shared" si="1"/>
        <v>-149189.46856581536</v>
      </c>
      <c r="F54">
        <v>576728.29962546821</v>
      </c>
      <c r="G54">
        <v>366267.58709425718</v>
      </c>
      <c r="H54">
        <f t="shared" si="2"/>
        <v>0</v>
      </c>
      <c r="I54">
        <f t="shared" si="3"/>
        <v>210460.71253121103</v>
      </c>
      <c r="J54">
        <f t="shared" si="4"/>
        <v>1307060.7815932748</v>
      </c>
      <c r="K54">
        <f t="shared" si="5"/>
        <v>1368332.0255586705</v>
      </c>
    </row>
    <row r="55" spans="1:11" x14ac:dyDescent="0.35">
      <c r="A55" s="1" t="s">
        <v>55</v>
      </c>
      <c r="B55">
        <v>553985.76074498566</v>
      </c>
      <c r="C55">
        <v>818073.25274594082</v>
      </c>
      <c r="D55">
        <f t="shared" si="0"/>
        <v>0</v>
      </c>
      <c r="E55">
        <f t="shared" si="1"/>
        <v>264087.49200095516</v>
      </c>
      <c r="F55">
        <v>931491.68741355464</v>
      </c>
      <c r="G55">
        <v>559767.36641309364</v>
      </c>
      <c r="H55">
        <f t="shared" si="2"/>
        <v>0</v>
      </c>
      <c r="I55">
        <f t="shared" si="3"/>
        <v>371724.321000461</v>
      </c>
      <c r="J55">
        <f t="shared" si="4"/>
        <v>1113753.1271580793</v>
      </c>
      <c r="K55">
        <f t="shared" si="5"/>
        <v>1749564.9401594955</v>
      </c>
    </row>
    <row r="56" spans="1:11" x14ac:dyDescent="0.35">
      <c r="A56" s="1" t="s">
        <v>56</v>
      </c>
      <c r="B56">
        <v>991860.80990099011</v>
      </c>
      <c r="C56">
        <v>771910.06567656761</v>
      </c>
      <c r="D56">
        <f t="shared" si="0"/>
        <v>1</v>
      </c>
      <c r="E56">
        <f t="shared" si="1"/>
        <v>-219950.74422442249</v>
      </c>
      <c r="F56">
        <v>772248.0285132383</v>
      </c>
      <c r="G56">
        <v>945477.21486761712</v>
      </c>
      <c r="H56">
        <f t="shared" si="2"/>
        <v>1</v>
      </c>
      <c r="I56">
        <f t="shared" si="3"/>
        <v>-173229.18635437882</v>
      </c>
      <c r="J56">
        <f t="shared" si="4"/>
        <v>1937338.0247686072</v>
      </c>
      <c r="K56">
        <f t="shared" si="5"/>
        <v>1544158.0941898059</v>
      </c>
    </row>
    <row r="57" spans="1:11" x14ac:dyDescent="0.35">
      <c r="A57" s="1" t="s">
        <v>57</v>
      </c>
      <c r="B57">
        <v>876105.52495009976</v>
      </c>
      <c r="C57">
        <v>806481.73220226215</v>
      </c>
      <c r="D57">
        <f t="shared" si="0"/>
        <v>1</v>
      </c>
      <c r="E57">
        <f t="shared" si="1"/>
        <v>-69623.792747837608</v>
      </c>
      <c r="F57">
        <v>813288.57894736843</v>
      </c>
      <c r="G57">
        <v>866381.06781376514</v>
      </c>
      <c r="H57">
        <f t="shared" si="2"/>
        <v>1</v>
      </c>
      <c r="I57">
        <f t="shared" si="3"/>
        <v>-53092.488866396714</v>
      </c>
      <c r="J57">
        <f t="shared" si="4"/>
        <v>1742486.5927638649</v>
      </c>
      <c r="K57">
        <f t="shared" si="5"/>
        <v>1619770.3111496307</v>
      </c>
    </row>
    <row r="58" spans="1:11" x14ac:dyDescent="0.35">
      <c r="A58" s="1" t="s">
        <v>58</v>
      </c>
      <c r="B58">
        <v>99259.143362831863</v>
      </c>
      <c r="C58">
        <v>58717.738997050154</v>
      </c>
      <c r="D58">
        <f t="shared" si="0"/>
        <v>1</v>
      </c>
      <c r="E58">
        <f t="shared" si="1"/>
        <v>-40541.404365781709</v>
      </c>
      <c r="F58">
        <v>45293.376884422112</v>
      </c>
      <c r="G58">
        <v>61301.140183444113</v>
      </c>
      <c r="H58">
        <f t="shared" si="2"/>
        <v>1</v>
      </c>
      <c r="I58">
        <f t="shared" si="3"/>
        <v>-16007.763299022001</v>
      </c>
      <c r="J58">
        <f t="shared" si="4"/>
        <v>160560.28354627598</v>
      </c>
      <c r="K58">
        <f t="shared" si="5"/>
        <v>104011.11588147227</v>
      </c>
    </row>
    <row r="59" spans="1:11" x14ac:dyDescent="0.35">
      <c r="A59" s="1" t="s">
        <v>59</v>
      </c>
      <c r="B59">
        <v>766824.62808349147</v>
      </c>
      <c r="C59">
        <v>23460.693548387091</v>
      </c>
      <c r="D59">
        <f t="shared" si="0"/>
        <v>1</v>
      </c>
      <c r="E59">
        <f t="shared" si="1"/>
        <v>-743363.93453510432</v>
      </c>
      <c r="F59">
        <v>9380.627027027027</v>
      </c>
      <c r="G59">
        <v>217999.8876426426</v>
      </c>
      <c r="H59">
        <f t="shared" si="2"/>
        <v>1</v>
      </c>
      <c r="I59">
        <f t="shared" si="3"/>
        <v>-208619.26061561558</v>
      </c>
      <c r="J59">
        <f t="shared" si="4"/>
        <v>984824.51572613406</v>
      </c>
      <c r="K59">
        <f t="shared" si="5"/>
        <v>32841.320575414116</v>
      </c>
    </row>
    <row r="60" spans="1:11" x14ac:dyDescent="0.35">
      <c r="A60" s="1" t="s">
        <v>60</v>
      </c>
      <c r="B60">
        <v>14998.5</v>
      </c>
      <c r="C60">
        <v>256.18941705009502</v>
      </c>
      <c r="D60">
        <f t="shared" si="0"/>
        <v>1</v>
      </c>
      <c r="E60">
        <f t="shared" si="1"/>
        <v>-14742.310582949905</v>
      </c>
      <c r="F60">
        <v>2747.869281045751</v>
      </c>
      <c r="G60">
        <v>80695.409178674541</v>
      </c>
      <c r="H60">
        <f t="shared" si="2"/>
        <v>1</v>
      </c>
      <c r="I60">
        <f t="shared" si="3"/>
        <v>-77947.539897628783</v>
      </c>
      <c r="J60">
        <f t="shared" si="4"/>
        <v>95693.909178674541</v>
      </c>
      <c r="K60">
        <f t="shared" si="5"/>
        <v>3004.058698095846</v>
      </c>
    </row>
    <row r="61" spans="1:11" x14ac:dyDescent="0.35">
      <c r="A61" s="1" t="s">
        <v>61</v>
      </c>
      <c r="B61">
        <v>184565.80645161291</v>
      </c>
      <c r="C61">
        <v>180640.04266818531</v>
      </c>
      <c r="D61">
        <f t="shared" si="0"/>
        <v>1</v>
      </c>
      <c r="E61">
        <f t="shared" si="1"/>
        <v>-3925.7637834275956</v>
      </c>
      <c r="F61">
        <v>213970.78947368421</v>
      </c>
      <c r="G61">
        <v>208117.40354096529</v>
      </c>
      <c r="H61">
        <f t="shared" si="2"/>
        <v>0</v>
      </c>
      <c r="I61">
        <f t="shared" si="3"/>
        <v>5853.3859327189275</v>
      </c>
      <c r="J61">
        <f t="shared" si="4"/>
        <v>392683.20999257819</v>
      </c>
      <c r="K61">
        <f t="shared" si="5"/>
        <v>394610.83214186953</v>
      </c>
    </row>
    <row r="62" spans="1:11" x14ac:dyDescent="0.35">
      <c r="A62" s="1" t="s">
        <v>62</v>
      </c>
      <c r="B62">
        <v>1011725.341846758</v>
      </c>
      <c r="C62">
        <v>773640.74656188604</v>
      </c>
      <c r="D62">
        <f t="shared" si="0"/>
        <v>1</v>
      </c>
      <c r="E62">
        <f t="shared" si="1"/>
        <v>-238084.59528487199</v>
      </c>
      <c r="F62">
        <v>750747.82199999993</v>
      </c>
      <c r="G62">
        <v>984334.25066666678</v>
      </c>
      <c r="H62">
        <f t="shared" si="2"/>
        <v>1</v>
      </c>
      <c r="I62">
        <f t="shared" si="3"/>
        <v>-233586.42866666685</v>
      </c>
      <c r="J62">
        <f t="shared" si="4"/>
        <v>1996059.5925134248</v>
      </c>
      <c r="K62">
        <f t="shared" si="5"/>
        <v>1524388.568561886</v>
      </c>
    </row>
    <row r="63" spans="1:11" x14ac:dyDescent="0.35">
      <c r="A63" s="1" t="s">
        <v>63</v>
      </c>
      <c r="B63">
        <v>439888.57199471601</v>
      </c>
      <c r="C63">
        <v>781122.56197710265</v>
      </c>
      <c r="D63">
        <f t="shared" si="0"/>
        <v>0</v>
      </c>
      <c r="E63">
        <f t="shared" si="1"/>
        <v>341233.98998238664</v>
      </c>
      <c r="F63">
        <v>902181.93583535112</v>
      </c>
      <c r="G63">
        <v>435553.02330508479</v>
      </c>
      <c r="H63">
        <f t="shared" si="2"/>
        <v>0</v>
      </c>
      <c r="I63">
        <f t="shared" si="3"/>
        <v>466628.91253026633</v>
      </c>
      <c r="J63">
        <f t="shared" si="4"/>
        <v>875441.59529980086</v>
      </c>
      <c r="K63">
        <f t="shared" si="5"/>
        <v>1683304.4978124537</v>
      </c>
    </row>
    <row r="64" spans="1:11" x14ac:dyDescent="0.35">
      <c r="A64" s="1" t="s">
        <v>64</v>
      </c>
      <c r="B64">
        <v>961147.23633440514</v>
      </c>
      <c r="C64">
        <v>17665.220257234731</v>
      </c>
      <c r="D64">
        <f t="shared" si="0"/>
        <v>1</v>
      </c>
      <c r="E64">
        <f t="shared" si="1"/>
        <v>-943482.01607717038</v>
      </c>
      <c r="F64">
        <v>5728.7551020408164</v>
      </c>
      <c r="G64">
        <v>136170.1522958334</v>
      </c>
      <c r="H64">
        <f t="shared" si="2"/>
        <v>1</v>
      </c>
      <c r="I64">
        <f t="shared" si="3"/>
        <v>-130441.39719379258</v>
      </c>
      <c r="J64">
        <f t="shared" si="4"/>
        <v>1097317.3886302386</v>
      </c>
      <c r="K64">
        <f t="shared" si="5"/>
        <v>23393.975359275548</v>
      </c>
    </row>
    <row r="65" spans="1:11" x14ac:dyDescent="0.35">
      <c r="A65" s="1" t="s">
        <v>65</v>
      </c>
      <c r="B65">
        <v>910286.28922495269</v>
      </c>
      <c r="C65">
        <v>1125570.91020794</v>
      </c>
      <c r="D65">
        <f t="shared" si="0"/>
        <v>0</v>
      </c>
      <c r="E65">
        <f t="shared" si="1"/>
        <v>215284.62098298734</v>
      </c>
      <c r="F65">
        <v>1158540.1332082551</v>
      </c>
      <c r="G65">
        <v>914030.46341463411</v>
      </c>
      <c r="H65">
        <f t="shared" si="2"/>
        <v>0</v>
      </c>
      <c r="I65">
        <f t="shared" si="3"/>
        <v>244509.66979362094</v>
      </c>
      <c r="J65">
        <f t="shared" si="4"/>
        <v>1824316.7526395868</v>
      </c>
      <c r="K65">
        <f t="shared" si="5"/>
        <v>2284111.0434161951</v>
      </c>
    </row>
    <row r="66" spans="1:11" x14ac:dyDescent="0.35">
      <c r="A66" s="1" t="s">
        <v>66</v>
      </c>
      <c r="B66">
        <v>915502.2767676767</v>
      </c>
      <c r="C66">
        <v>632485.62222222215</v>
      </c>
      <c r="D66">
        <f t="shared" si="0"/>
        <v>1</v>
      </c>
      <c r="E66">
        <f t="shared" si="1"/>
        <v>-283016.65454545454</v>
      </c>
      <c r="F66">
        <v>648984.66205533594</v>
      </c>
      <c r="G66">
        <v>915013.66106719361</v>
      </c>
      <c r="H66">
        <f t="shared" si="2"/>
        <v>1</v>
      </c>
      <c r="I66">
        <f t="shared" si="3"/>
        <v>-266028.99901185767</v>
      </c>
      <c r="J66">
        <f t="shared" si="4"/>
        <v>1830515.9378348703</v>
      </c>
      <c r="K66">
        <f t="shared" si="5"/>
        <v>1281470.2842775581</v>
      </c>
    </row>
    <row r="67" spans="1:11" x14ac:dyDescent="0.35">
      <c r="A67" s="1" t="s">
        <v>67</v>
      </c>
      <c r="B67">
        <v>1095202.808187135</v>
      </c>
      <c r="C67">
        <v>4338.8335282651078</v>
      </c>
      <c r="D67">
        <f t="shared" ref="D67:D101" si="6">IF(B67&gt;C67,1,0)</f>
        <v>1</v>
      </c>
      <c r="E67">
        <f t="shared" ref="E67:E101" si="7">C67-B67</f>
        <v>-1090863.9746588699</v>
      </c>
      <c r="F67">
        <v>229.4666666666667</v>
      </c>
      <c r="G67">
        <v>12743.12632908335</v>
      </c>
      <c r="H67">
        <f t="shared" ref="H67:H101" si="8">IF(F67&lt;G67,1,0)</f>
        <v>1</v>
      </c>
      <c r="I67">
        <f t="shared" ref="I67:I101" si="9">F67-G67</f>
        <v>-12513.659662416683</v>
      </c>
      <c r="J67">
        <f t="shared" ref="J67:J101" si="10">B67+G67</f>
        <v>1107945.9345162185</v>
      </c>
      <c r="K67">
        <f t="shared" ref="K67:K101" si="11">C67+F67</f>
        <v>4568.300194931775</v>
      </c>
    </row>
    <row r="68" spans="1:11" x14ac:dyDescent="0.35">
      <c r="A68" s="1" t="s">
        <v>68</v>
      </c>
      <c r="B68">
        <v>169189.52400835071</v>
      </c>
      <c r="C68">
        <v>712361.25278357696</v>
      </c>
      <c r="D68">
        <f t="shared" si="6"/>
        <v>0</v>
      </c>
      <c r="E68">
        <f t="shared" si="7"/>
        <v>543171.72877522628</v>
      </c>
      <c r="F68">
        <v>301045.80745341617</v>
      </c>
      <c r="G68">
        <v>50984.652914028702</v>
      </c>
      <c r="H68">
        <f t="shared" si="8"/>
        <v>0</v>
      </c>
      <c r="I68">
        <f t="shared" si="9"/>
        <v>250061.15453938747</v>
      </c>
      <c r="J68">
        <f t="shared" si="10"/>
        <v>220174.17692237941</v>
      </c>
      <c r="K68">
        <f t="shared" si="11"/>
        <v>1013407.0602369931</v>
      </c>
    </row>
    <row r="69" spans="1:11" x14ac:dyDescent="0.35">
      <c r="A69" s="1" t="s">
        <v>69</v>
      </c>
      <c r="B69">
        <v>681598.5294117647</v>
      </c>
      <c r="C69">
        <v>64503.198586411308</v>
      </c>
      <c r="D69">
        <f t="shared" si="6"/>
        <v>1</v>
      </c>
      <c r="E69">
        <f t="shared" si="7"/>
        <v>-617095.33082535339</v>
      </c>
      <c r="F69">
        <v>34324.117391304353</v>
      </c>
      <c r="G69">
        <v>212663.50345373471</v>
      </c>
      <c r="H69">
        <f t="shared" si="8"/>
        <v>1</v>
      </c>
      <c r="I69">
        <f t="shared" si="9"/>
        <v>-178339.38606243036</v>
      </c>
      <c r="J69">
        <f t="shared" si="10"/>
        <v>894262.03286549938</v>
      </c>
      <c r="K69">
        <f t="shared" si="11"/>
        <v>98827.315977715654</v>
      </c>
    </row>
    <row r="70" spans="1:11" x14ac:dyDescent="0.35">
      <c r="A70" s="1" t="s">
        <v>70</v>
      </c>
      <c r="B70">
        <v>649253.87478260871</v>
      </c>
      <c r="C70">
        <v>671432.87043478258</v>
      </c>
      <c r="D70">
        <f t="shared" si="6"/>
        <v>0</v>
      </c>
      <c r="E70">
        <f t="shared" si="7"/>
        <v>22178.995652173879</v>
      </c>
      <c r="F70">
        <v>743424.701842546</v>
      </c>
      <c r="G70">
        <v>623581.96873255167</v>
      </c>
      <c r="H70">
        <f t="shared" si="8"/>
        <v>0</v>
      </c>
      <c r="I70">
        <f t="shared" si="9"/>
        <v>119842.73310999433</v>
      </c>
      <c r="J70">
        <f t="shared" si="10"/>
        <v>1272835.8435151605</v>
      </c>
      <c r="K70">
        <f t="shared" si="11"/>
        <v>1414857.5722773285</v>
      </c>
    </row>
    <row r="71" spans="1:11" x14ac:dyDescent="0.35">
      <c r="A71" s="1" t="s">
        <v>71</v>
      </c>
      <c r="B71">
        <v>817548.78063241113</v>
      </c>
      <c r="C71">
        <v>25410.227272727268</v>
      </c>
      <c r="D71">
        <f t="shared" si="6"/>
        <v>1</v>
      </c>
      <c r="E71">
        <f t="shared" si="7"/>
        <v>-792138.55335968384</v>
      </c>
      <c r="F71">
        <v>9260.6063829787236</v>
      </c>
      <c r="G71">
        <v>217257.2287613982</v>
      </c>
      <c r="H71">
        <f t="shared" si="8"/>
        <v>1</v>
      </c>
      <c r="I71">
        <f t="shared" si="9"/>
        <v>-207996.62237841947</v>
      </c>
      <c r="J71">
        <f t="shared" si="10"/>
        <v>1034806.0093938094</v>
      </c>
      <c r="K71">
        <f t="shared" si="11"/>
        <v>34670.833655705996</v>
      </c>
    </row>
    <row r="72" spans="1:11" x14ac:dyDescent="0.35">
      <c r="A72" s="1" t="s">
        <v>72</v>
      </c>
      <c r="B72">
        <v>501829.37404580152</v>
      </c>
      <c r="C72">
        <v>411650.28085241729</v>
      </c>
      <c r="D72">
        <f t="shared" si="6"/>
        <v>1</v>
      </c>
      <c r="E72">
        <f t="shared" si="7"/>
        <v>-90179.093193384237</v>
      </c>
      <c r="F72">
        <v>402651.56976744178</v>
      </c>
      <c r="G72">
        <v>486721.67667958653</v>
      </c>
      <c r="H72">
        <f t="shared" si="8"/>
        <v>1</v>
      </c>
      <c r="I72">
        <f t="shared" si="9"/>
        <v>-84070.106912144751</v>
      </c>
      <c r="J72">
        <f t="shared" si="10"/>
        <v>988551.05072538811</v>
      </c>
      <c r="K72">
        <f t="shared" si="11"/>
        <v>814301.85061985906</v>
      </c>
    </row>
    <row r="73" spans="1:11" x14ac:dyDescent="0.35">
      <c r="A73" s="1" t="s">
        <v>73</v>
      </c>
      <c r="B73">
        <v>687017.33607907745</v>
      </c>
      <c r="C73">
        <v>21316.878912685341</v>
      </c>
      <c r="D73">
        <f t="shared" si="6"/>
        <v>1</v>
      </c>
      <c r="E73">
        <f t="shared" si="7"/>
        <v>-665700.45716639212</v>
      </c>
      <c r="F73">
        <v>6626.6358381502887</v>
      </c>
      <c r="G73">
        <v>138313.19077095031</v>
      </c>
      <c r="H73">
        <f t="shared" si="8"/>
        <v>1</v>
      </c>
      <c r="I73">
        <f t="shared" si="9"/>
        <v>-131686.55493280003</v>
      </c>
      <c r="J73">
        <f t="shared" si="10"/>
        <v>825330.52685002773</v>
      </c>
      <c r="K73">
        <f t="shared" si="11"/>
        <v>27943.514750835631</v>
      </c>
    </row>
    <row r="74" spans="1:11" x14ac:dyDescent="0.35">
      <c r="A74" s="1" t="s">
        <v>74</v>
      </c>
      <c r="B74">
        <v>251650.420984456</v>
      </c>
      <c r="C74">
        <v>15576.641191709839</v>
      </c>
      <c r="D74">
        <f t="shared" si="6"/>
        <v>1</v>
      </c>
      <c r="E74">
        <f t="shared" si="7"/>
        <v>-236073.77979274615</v>
      </c>
      <c r="F74">
        <v>8823.070796460177</v>
      </c>
      <c r="G74">
        <v>110640.3256175335</v>
      </c>
      <c r="H74">
        <f t="shared" si="8"/>
        <v>1</v>
      </c>
      <c r="I74">
        <f t="shared" si="9"/>
        <v>-101817.25482107332</v>
      </c>
      <c r="J74">
        <f t="shared" si="10"/>
        <v>362290.74660198949</v>
      </c>
      <c r="K74">
        <f t="shared" si="11"/>
        <v>24399.711988170016</v>
      </c>
    </row>
    <row r="75" spans="1:11" x14ac:dyDescent="0.35">
      <c r="A75" s="1" t="s">
        <v>75</v>
      </c>
      <c r="B75">
        <v>297731.98913043481</v>
      </c>
      <c r="C75">
        <v>413888.20302795031</v>
      </c>
      <c r="D75">
        <f t="shared" si="6"/>
        <v>0</v>
      </c>
      <c r="E75">
        <f t="shared" si="7"/>
        <v>116156.2138975155</v>
      </c>
      <c r="F75">
        <v>444999.17507418402</v>
      </c>
      <c r="G75">
        <v>297909.04154302669</v>
      </c>
      <c r="H75">
        <f t="shared" si="8"/>
        <v>0</v>
      </c>
      <c r="I75">
        <f t="shared" si="9"/>
        <v>147090.13353115733</v>
      </c>
      <c r="J75">
        <f t="shared" si="10"/>
        <v>595641.0306734615</v>
      </c>
      <c r="K75">
        <f t="shared" si="11"/>
        <v>858887.37810213433</v>
      </c>
    </row>
    <row r="76" spans="1:11" x14ac:dyDescent="0.35">
      <c r="A76" s="1" t="s">
        <v>76</v>
      </c>
      <c r="B76">
        <v>864206.85429141717</v>
      </c>
      <c r="C76">
        <v>932404.81736526941</v>
      </c>
      <c r="D76">
        <f t="shared" si="6"/>
        <v>0</v>
      </c>
      <c r="E76">
        <f t="shared" si="7"/>
        <v>68197.963073852239</v>
      </c>
      <c r="F76">
        <v>984918.35728542914</v>
      </c>
      <c r="G76">
        <v>843458.06886227545</v>
      </c>
      <c r="H76">
        <f t="shared" si="8"/>
        <v>0</v>
      </c>
      <c r="I76">
        <f t="shared" si="9"/>
        <v>141460.28842315369</v>
      </c>
      <c r="J76">
        <f t="shared" si="10"/>
        <v>1707664.9231536926</v>
      </c>
      <c r="K76">
        <f t="shared" si="11"/>
        <v>1917323.1746506984</v>
      </c>
    </row>
    <row r="77" spans="1:11" x14ac:dyDescent="0.35">
      <c r="A77" s="1" t="s">
        <v>77</v>
      </c>
      <c r="B77">
        <v>229773.32542372879</v>
      </c>
      <c r="C77">
        <v>753.27118644067787</v>
      </c>
      <c r="D77">
        <f t="shared" si="6"/>
        <v>1</v>
      </c>
      <c r="E77">
        <f t="shared" si="7"/>
        <v>-229020.0542372881</v>
      </c>
      <c r="F77">
        <v>19</v>
      </c>
      <c r="G77">
        <v>3297.0896368508729</v>
      </c>
      <c r="H77">
        <f t="shared" si="8"/>
        <v>1</v>
      </c>
      <c r="I77">
        <f t="shared" si="9"/>
        <v>-3278.0896368508729</v>
      </c>
      <c r="J77">
        <f t="shared" si="10"/>
        <v>233070.41506057966</v>
      </c>
      <c r="K77">
        <f t="shared" si="11"/>
        <v>772.27118644067787</v>
      </c>
    </row>
    <row r="78" spans="1:11" x14ac:dyDescent="0.35">
      <c r="A78" s="1" t="s">
        <v>78</v>
      </c>
      <c r="B78">
        <v>1479694.3795180719</v>
      </c>
      <c r="C78">
        <v>1148599.4449799201</v>
      </c>
      <c r="D78">
        <f t="shared" si="6"/>
        <v>1</v>
      </c>
      <c r="E78">
        <f t="shared" si="7"/>
        <v>-331094.93453815184</v>
      </c>
      <c r="F78">
        <v>1145993.4589552239</v>
      </c>
      <c r="G78">
        <v>1346881.9992744611</v>
      </c>
      <c r="H78">
        <f t="shared" si="8"/>
        <v>1</v>
      </c>
      <c r="I78">
        <f t="shared" si="9"/>
        <v>-200888.54031923716</v>
      </c>
      <c r="J78">
        <f t="shared" si="10"/>
        <v>2826576.3787925327</v>
      </c>
      <c r="K78">
        <f t="shared" si="11"/>
        <v>2294592.9039351437</v>
      </c>
    </row>
    <row r="79" spans="1:11" x14ac:dyDescent="0.35">
      <c r="A79" s="1" t="s">
        <v>79</v>
      </c>
      <c r="B79">
        <v>73704.398357289523</v>
      </c>
      <c r="C79">
        <v>267546.22896255011</v>
      </c>
      <c r="D79">
        <f t="shared" si="6"/>
        <v>0</v>
      </c>
      <c r="E79">
        <f t="shared" si="7"/>
        <v>193841.83060526059</v>
      </c>
      <c r="F79">
        <v>509026.91922005569</v>
      </c>
      <c r="G79">
        <v>99285.043407613732</v>
      </c>
      <c r="H79">
        <f t="shared" si="8"/>
        <v>0</v>
      </c>
      <c r="I79">
        <f t="shared" si="9"/>
        <v>409741.87581244193</v>
      </c>
      <c r="J79">
        <f t="shared" si="10"/>
        <v>172989.44176490325</v>
      </c>
      <c r="K79">
        <f t="shared" si="11"/>
        <v>776573.14818260586</v>
      </c>
    </row>
    <row r="80" spans="1:11" x14ac:dyDescent="0.35">
      <c r="A80" s="1" t="s">
        <v>80</v>
      </c>
      <c r="B80">
        <v>818821.11907810497</v>
      </c>
      <c r="C80">
        <v>946625.34293640638</v>
      </c>
      <c r="D80">
        <f t="shared" si="6"/>
        <v>0</v>
      </c>
      <c r="E80">
        <f t="shared" si="7"/>
        <v>127804.22385830141</v>
      </c>
      <c r="F80">
        <v>980125.05024509807</v>
      </c>
      <c r="G80">
        <v>820961.42401960783</v>
      </c>
      <c r="H80">
        <f t="shared" si="8"/>
        <v>0</v>
      </c>
      <c r="I80">
        <f t="shared" si="9"/>
        <v>159163.62622549024</v>
      </c>
      <c r="J80">
        <f t="shared" si="10"/>
        <v>1639782.5430977128</v>
      </c>
      <c r="K80">
        <f t="shared" si="11"/>
        <v>1926750.3931815044</v>
      </c>
    </row>
    <row r="81" spans="1:11" x14ac:dyDescent="0.35">
      <c r="A81" s="1" t="s">
        <v>81</v>
      </c>
      <c r="B81">
        <v>943458.56410256412</v>
      </c>
      <c r="C81">
        <v>1148705.8150183151</v>
      </c>
      <c r="D81">
        <f t="shared" si="6"/>
        <v>0</v>
      </c>
      <c r="E81">
        <f t="shared" si="7"/>
        <v>205247.25091575098</v>
      </c>
      <c r="F81">
        <v>1200236.436470588</v>
      </c>
      <c r="G81">
        <v>946403.23529411759</v>
      </c>
      <c r="H81">
        <f t="shared" si="8"/>
        <v>0</v>
      </c>
      <c r="I81">
        <f t="shared" si="9"/>
        <v>253833.20117647038</v>
      </c>
      <c r="J81">
        <f t="shared" si="10"/>
        <v>1889861.7993966816</v>
      </c>
      <c r="K81">
        <f t="shared" si="11"/>
        <v>2348942.2514889031</v>
      </c>
    </row>
    <row r="82" spans="1:11" x14ac:dyDescent="0.35">
      <c r="A82" s="1" t="s">
        <v>82</v>
      </c>
      <c r="B82">
        <v>1424757.559322034</v>
      </c>
      <c r="C82">
        <v>32715.37627118644</v>
      </c>
      <c r="D82">
        <f t="shared" si="6"/>
        <v>1</v>
      </c>
      <c r="E82">
        <f t="shared" si="7"/>
        <v>-1392042.1830508476</v>
      </c>
      <c r="F82">
        <v>10082.809815950921</v>
      </c>
      <c r="G82">
        <v>308758.24259655649</v>
      </c>
      <c r="H82">
        <f t="shared" si="8"/>
        <v>1</v>
      </c>
      <c r="I82">
        <f t="shared" si="9"/>
        <v>-298675.43278060557</v>
      </c>
      <c r="J82">
        <f t="shared" si="10"/>
        <v>1733515.8019185904</v>
      </c>
      <c r="K82">
        <f t="shared" si="11"/>
        <v>42798.186087137365</v>
      </c>
    </row>
    <row r="83" spans="1:11" x14ac:dyDescent="0.35">
      <c r="A83" s="1" t="s">
        <v>83</v>
      </c>
      <c r="B83">
        <v>699686.79707495426</v>
      </c>
      <c r="C83">
        <v>924832.68860450957</v>
      </c>
      <c r="D83">
        <f t="shared" si="6"/>
        <v>0</v>
      </c>
      <c r="E83">
        <f t="shared" si="7"/>
        <v>225145.89152955532</v>
      </c>
      <c r="F83">
        <v>969366.28700361005</v>
      </c>
      <c r="G83">
        <v>685411.05324909743</v>
      </c>
      <c r="H83">
        <f t="shared" si="8"/>
        <v>0</v>
      </c>
      <c r="I83">
        <f t="shared" si="9"/>
        <v>283955.23375451262</v>
      </c>
      <c r="J83">
        <f t="shared" si="10"/>
        <v>1385097.8503240517</v>
      </c>
      <c r="K83">
        <f t="shared" si="11"/>
        <v>1894198.9756081197</v>
      </c>
    </row>
    <row r="84" spans="1:11" x14ac:dyDescent="0.35">
      <c r="A84" s="1" t="s">
        <v>84</v>
      </c>
      <c r="B84">
        <v>653859.00784313725</v>
      </c>
      <c r="C84">
        <v>614091.35522875818</v>
      </c>
      <c r="D84">
        <f t="shared" si="6"/>
        <v>1</v>
      </c>
      <c r="E84">
        <f t="shared" si="7"/>
        <v>-39767.652614379069</v>
      </c>
      <c r="F84">
        <v>631563.72352941171</v>
      </c>
      <c r="G84">
        <v>643961.62843137258</v>
      </c>
      <c r="H84">
        <f t="shared" si="8"/>
        <v>1</v>
      </c>
      <c r="I84">
        <f t="shared" si="9"/>
        <v>-12397.904901960865</v>
      </c>
      <c r="J84">
        <f t="shared" si="10"/>
        <v>1297820.6362745098</v>
      </c>
      <c r="K84">
        <f t="shared" si="11"/>
        <v>1245655.0787581699</v>
      </c>
    </row>
    <row r="85" spans="1:11" x14ac:dyDescent="0.35">
      <c r="A85" s="1" t="s">
        <v>85</v>
      </c>
      <c r="B85">
        <v>814832.11919191922</v>
      </c>
      <c r="C85">
        <v>347488.46060606057</v>
      </c>
      <c r="D85">
        <f t="shared" si="6"/>
        <v>1</v>
      </c>
      <c r="E85">
        <f t="shared" si="7"/>
        <v>-467343.65858585865</v>
      </c>
      <c r="F85">
        <v>316449.89016018307</v>
      </c>
      <c r="G85">
        <v>685827.60621662857</v>
      </c>
      <c r="H85">
        <f t="shared" si="8"/>
        <v>1</v>
      </c>
      <c r="I85">
        <f t="shared" si="9"/>
        <v>-369377.7160564455</v>
      </c>
      <c r="J85">
        <f t="shared" si="10"/>
        <v>1500659.7254085478</v>
      </c>
      <c r="K85">
        <f t="shared" si="11"/>
        <v>663938.35076624365</v>
      </c>
    </row>
    <row r="86" spans="1:11" x14ac:dyDescent="0.35">
      <c r="A86" s="1" t="s">
        <v>86</v>
      </c>
      <c r="B86">
        <v>1494042.2614302461</v>
      </c>
      <c r="C86">
        <v>4267.6875732708086</v>
      </c>
      <c r="D86">
        <f t="shared" si="6"/>
        <v>1</v>
      </c>
      <c r="E86">
        <f t="shared" si="7"/>
        <v>-1489774.5738569752</v>
      </c>
      <c r="F86">
        <v>223.4666666666667</v>
      </c>
      <c r="G86">
        <v>24159.39423995711</v>
      </c>
      <c r="H86">
        <f t="shared" si="8"/>
        <v>1</v>
      </c>
      <c r="I86">
        <f t="shared" si="9"/>
        <v>-23935.927573290443</v>
      </c>
      <c r="J86">
        <f t="shared" si="10"/>
        <v>1518201.6556702033</v>
      </c>
      <c r="K86">
        <f t="shared" si="11"/>
        <v>4491.1542399374757</v>
      </c>
    </row>
    <row r="87" spans="1:11" x14ac:dyDescent="0.35">
      <c r="A87" s="1" t="s">
        <v>87</v>
      </c>
      <c r="B87">
        <v>2067912.02886836</v>
      </c>
      <c r="C87">
        <v>793742.57959969202</v>
      </c>
      <c r="D87">
        <f t="shared" si="6"/>
        <v>1</v>
      </c>
      <c r="E87">
        <f t="shared" si="7"/>
        <v>-1274169.449268668</v>
      </c>
      <c r="F87">
        <v>520073.34602076118</v>
      </c>
      <c r="G87">
        <v>607738.97461924853</v>
      </c>
      <c r="H87">
        <f t="shared" si="8"/>
        <v>1</v>
      </c>
      <c r="I87">
        <f t="shared" si="9"/>
        <v>-87665.628598487354</v>
      </c>
      <c r="J87">
        <f t="shared" si="10"/>
        <v>2675651.0034876084</v>
      </c>
      <c r="K87">
        <f t="shared" si="11"/>
        <v>1313815.9256204532</v>
      </c>
    </row>
    <row r="88" spans="1:11" x14ac:dyDescent="0.35">
      <c r="A88" s="1" t="s">
        <v>88</v>
      </c>
      <c r="B88">
        <v>495219.39146341459</v>
      </c>
      <c r="C88">
        <v>68208.993678861792</v>
      </c>
      <c r="D88">
        <f t="shared" si="6"/>
        <v>1</v>
      </c>
      <c r="E88">
        <f t="shared" si="7"/>
        <v>-427010.39778455277</v>
      </c>
      <c r="F88">
        <v>37947.959514170041</v>
      </c>
      <c r="G88">
        <v>189124.29176414639</v>
      </c>
      <c r="H88">
        <f t="shared" si="8"/>
        <v>1</v>
      </c>
      <c r="I88">
        <f t="shared" si="9"/>
        <v>-151176.33224997635</v>
      </c>
      <c r="J88">
        <f t="shared" si="10"/>
        <v>684343.68322756095</v>
      </c>
      <c r="K88">
        <f t="shared" si="11"/>
        <v>106156.95319303183</v>
      </c>
    </row>
    <row r="89" spans="1:11" x14ac:dyDescent="0.35">
      <c r="A89" s="1" t="s">
        <v>89</v>
      </c>
      <c r="B89">
        <v>1176542.9151943461</v>
      </c>
      <c r="C89">
        <v>3980.3515901060068</v>
      </c>
      <c r="D89">
        <f t="shared" si="6"/>
        <v>1</v>
      </c>
      <c r="E89">
        <f t="shared" si="7"/>
        <v>-1172562.5636042401</v>
      </c>
      <c r="F89">
        <v>379.93548387096769</v>
      </c>
      <c r="G89">
        <v>49319.32728691947</v>
      </c>
      <c r="H89">
        <f t="shared" si="8"/>
        <v>1</v>
      </c>
      <c r="I89">
        <f t="shared" si="9"/>
        <v>-48939.3918030485</v>
      </c>
      <c r="J89">
        <f t="shared" si="10"/>
        <v>1225862.2424812657</v>
      </c>
      <c r="K89">
        <f t="shared" si="11"/>
        <v>4360.2870739769742</v>
      </c>
    </row>
    <row r="90" spans="1:11" x14ac:dyDescent="0.35">
      <c r="A90" s="1" t="s">
        <v>90</v>
      </c>
      <c r="B90">
        <v>484349.51814516127</v>
      </c>
      <c r="C90">
        <v>200190.66431451609</v>
      </c>
      <c r="D90">
        <f t="shared" si="6"/>
        <v>1</v>
      </c>
      <c r="E90">
        <f t="shared" si="7"/>
        <v>-284158.85383064521</v>
      </c>
      <c r="F90">
        <v>185182.42307692309</v>
      </c>
      <c r="G90">
        <v>401041.23944193061</v>
      </c>
      <c r="H90">
        <f t="shared" si="8"/>
        <v>1</v>
      </c>
      <c r="I90">
        <f t="shared" si="9"/>
        <v>-215858.81636500751</v>
      </c>
      <c r="J90">
        <f t="shared" si="10"/>
        <v>885390.75758709188</v>
      </c>
      <c r="K90">
        <f t="shared" si="11"/>
        <v>385373.08739143919</v>
      </c>
    </row>
    <row r="91" spans="1:11" x14ac:dyDescent="0.35">
      <c r="A91" s="1" t="s">
        <v>91</v>
      </c>
      <c r="B91">
        <v>487837.48417350528</v>
      </c>
      <c r="C91">
        <v>1984.2219617037911</v>
      </c>
      <c r="D91">
        <f t="shared" si="6"/>
        <v>1</v>
      </c>
      <c r="E91">
        <f t="shared" si="7"/>
        <v>-485853.26221180148</v>
      </c>
      <c r="F91">
        <v>55.5</v>
      </c>
      <c r="G91">
        <v>12617.60503654383</v>
      </c>
      <c r="H91">
        <f t="shared" si="8"/>
        <v>1</v>
      </c>
      <c r="I91">
        <f t="shared" si="9"/>
        <v>-12562.10503654383</v>
      </c>
      <c r="J91">
        <f t="shared" si="10"/>
        <v>500455.08921004913</v>
      </c>
      <c r="K91">
        <f t="shared" si="11"/>
        <v>2039.7219617037911</v>
      </c>
    </row>
    <row r="92" spans="1:11" x14ac:dyDescent="0.35">
      <c r="A92" s="1" t="s">
        <v>92</v>
      </c>
      <c r="B92">
        <v>1102598.3175257731</v>
      </c>
      <c r="C92">
        <v>554571.92680412368</v>
      </c>
      <c r="D92">
        <f t="shared" si="6"/>
        <v>1</v>
      </c>
      <c r="E92">
        <f t="shared" si="7"/>
        <v>-548026.3907216494</v>
      </c>
      <c r="F92">
        <v>553585.82377919322</v>
      </c>
      <c r="G92">
        <v>1052279.719391366</v>
      </c>
      <c r="H92">
        <f t="shared" si="8"/>
        <v>1</v>
      </c>
      <c r="I92">
        <f t="shared" si="9"/>
        <v>-498693.89561217278</v>
      </c>
      <c r="J92">
        <f t="shared" si="10"/>
        <v>2154878.0369171388</v>
      </c>
      <c r="K92">
        <f t="shared" si="11"/>
        <v>1108157.7505833169</v>
      </c>
    </row>
    <row r="93" spans="1:11" x14ac:dyDescent="0.35">
      <c r="A93" s="1" t="s">
        <v>93</v>
      </c>
      <c r="B93">
        <v>394306.21390374331</v>
      </c>
      <c r="C93">
        <v>4989.6267082590621</v>
      </c>
      <c r="D93">
        <f t="shared" si="6"/>
        <v>1</v>
      </c>
      <c r="E93">
        <f t="shared" si="7"/>
        <v>-389316.58719548426</v>
      </c>
      <c r="F93">
        <v>396.82978723404261</v>
      </c>
      <c r="G93">
        <v>31954.32116844492</v>
      </c>
      <c r="H93">
        <f t="shared" si="8"/>
        <v>1</v>
      </c>
      <c r="I93">
        <f t="shared" si="9"/>
        <v>-31557.491381210879</v>
      </c>
      <c r="J93">
        <f t="shared" si="10"/>
        <v>426260.53507218824</v>
      </c>
      <c r="K93">
        <f t="shared" si="11"/>
        <v>5386.4564954931047</v>
      </c>
    </row>
    <row r="94" spans="1:11" x14ac:dyDescent="0.35">
      <c r="A94" s="1" t="s">
        <v>94</v>
      </c>
      <c r="B94">
        <v>957096.56410256412</v>
      </c>
      <c r="C94">
        <v>848340.74333836092</v>
      </c>
      <c r="D94">
        <f t="shared" si="6"/>
        <v>1</v>
      </c>
      <c r="E94">
        <f t="shared" si="7"/>
        <v>-108755.82076420321</v>
      </c>
      <c r="F94">
        <v>949319.66003062786</v>
      </c>
      <c r="G94">
        <v>874614.29504849412</v>
      </c>
      <c r="H94">
        <f t="shared" si="8"/>
        <v>0</v>
      </c>
      <c r="I94">
        <f t="shared" si="9"/>
        <v>74705.364982133731</v>
      </c>
      <c r="J94">
        <f t="shared" si="10"/>
        <v>1831710.8591510584</v>
      </c>
      <c r="K94">
        <f t="shared" si="11"/>
        <v>1797660.4033689888</v>
      </c>
    </row>
    <row r="95" spans="1:11" x14ac:dyDescent="0.35">
      <c r="A95" s="1" t="s">
        <v>95</v>
      </c>
      <c r="B95">
        <v>931997.19723865879</v>
      </c>
      <c r="C95">
        <v>961455.54536489153</v>
      </c>
      <c r="D95">
        <f t="shared" si="6"/>
        <v>0</v>
      </c>
      <c r="E95">
        <f t="shared" si="7"/>
        <v>29458.34812623274</v>
      </c>
      <c r="F95">
        <v>967263.35728542914</v>
      </c>
      <c r="G95">
        <v>884912.01996007981</v>
      </c>
      <c r="H95">
        <f t="shared" si="8"/>
        <v>0</v>
      </c>
      <c r="I95">
        <f t="shared" si="9"/>
        <v>82351.337325349334</v>
      </c>
      <c r="J95">
        <f t="shared" si="10"/>
        <v>1816909.2171987386</v>
      </c>
      <c r="K95">
        <f t="shared" si="11"/>
        <v>1928718.9026503207</v>
      </c>
    </row>
    <row r="96" spans="1:11" x14ac:dyDescent="0.35">
      <c r="A96" s="1" t="s">
        <v>96</v>
      </c>
      <c r="B96">
        <v>1557892.25</v>
      </c>
      <c r="C96">
        <v>1083232.428909953</v>
      </c>
      <c r="D96">
        <f t="shared" si="6"/>
        <v>1</v>
      </c>
      <c r="E96">
        <f t="shared" si="7"/>
        <v>-474659.82109004701</v>
      </c>
      <c r="F96">
        <v>1128792.5410447761</v>
      </c>
      <c r="G96">
        <v>1450224.9757462691</v>
      </c>
      <c r="H96">
        <f t="shared" si="8"/>
        <v>1</v>
      </c>
      <c r="I96">
        <f t="shared" si="9"/>
        <v>-321432.43470149301</v>
      </c>
      <c r="J96">
        <f t="shared" si="10"/>
        <v>3008117.2257462693</v>
      </c>
      <c r="K96">
        <f t="shared" si="11"/>
        <v>2212024.9699547291</v>
      </c>
    </row>
    <row r="97" spans="1:11" x14ac:dyDescent="0.35">
      <c r="A97" s="1" t="s">
        <v>97</v>
      </c>
      <c r="B97">
        <v>871679.73306233063</v>
      </c>
      <c r="C97">
        <v>77910.238077493879</v>
      </c>
      <c r="D97">
        <f t="shared" si="6"/>
        <v>1</v>
      </c>
      <c r="E97">
        <f t="shared" si="7"/>
        <v>-793769.49498483678</v>
      </c>
      <c r="F97">
        <v>17430.94594594595</v>
      </c>
      <c r="G97">
        <v>209159.0192536611</v>
      </c>
      <c r="H97">
        <f t="shared" si="8"/>
        <v>1</v>
      </c>
      <c r="I97">
        <f t="shared" si="9"/>
        <v>-191728.07330771515</v>
      </c>
      <c r="J97">
        <f t="shared" si="10"/>
        <v>1080838.7523159918</v>
      </c>
      <c r="K97">
        <f t="shared" si="11"/>
        <v>95341.184023439826</v>
      </c>
    </row>
    <row r="98" spans="1:11" x14ac:dyDescent="0.35">
      <c r="A98" s="1" t="s">
        <v>98</v>
      </c>
      <c r="B98">
        <v>790777.42799188639</v>
      </c>
      <c r="C98">
        <v>655769.39148073015</v>
      </c>
      <c r="D98">
        <f t="shared" si="6"/>
        <v>1</v>
      </c>
      <c r="E98">
        <f t="shared" si="7"/>
        <v>-135008.03651115624</v>
      </c>
      <c r="F98">
        <v>668233.97341513284</v>
      </c>
      <c r="G98">
        <v>752814.75630538515</v>
      </c>
      <c r="H98">
        <f t="shared" si="8"/>
        <v>1</v>
      </c>
      <c r="I98">
        <f t="shared" si="9"/>
        <v>-84580.782890252303</v>
      </c>
      <c r="J98">
        <f t="shared" si="10"/>
        <v>1543592.1842972715</v>
      </c>
      <c r="K98">
        <f t="shared" si="11"/>
        <v>1324003.364895863</v>
      </c>
    </row>
    <row r="99" spans="1:11" x14ac:dyDescent="0.35">
      <c r="A99" s="1" t="s">
        <v>99</v>
      </c>
      <c r="B99">
        <v>514954.1315417256</v>
      </c>
      <c r="C99">
        <v>166781.689651108</v>
      </c>
      <c r="D99">
        <f t="shared" si="6"/>
        <v>1</v>
      </c>
      <c r="E99">
        <f t="shared" si="7"/>
        <v>-348172.4418906176</v>
      </c>
      <c r="F99">
        <v>93878.996551724136</v>
      </c>
      <c r="G99">
        <v>190035.47962110519</v>
      </c>
      <c r="H99">
        <f t="shared" si="8"/>
        <v>1</v>
      </c>
      <c r="I99">
        <f t="shared" si="9"/>
        <v>-96156.483069381051</v>
      </c>
      <c r="J99">
        <f t="shared" si="10"/>
        <v>704989.61116283084</v>
      </c>
      <c r="K99">
        <f t="shared" si="11"/>
        <v>260660.68620283215</v>
      </c>
    </row>
    <row r="100" spans="1:11" x14ac:dyDescent="0.35">
      <c r="A100" s="1" t="s">
        <v>100</v>
      </c>
      <c r="B100">
        <v>109065.57726465361</v>
      </c>
      <c r="C100">
        <v>464869.07794552989</v>
      </c>
      <c r="D100">
        <f t="shared" si="6"/>
        <v>0</v>
      </c>
      <c r="E100">
        <f t="shared" si="7"/>
        <v>355803.50068087631</v>
      </c>
      <c r="F100">
        <v>689897.72172808135</v>
      </c>
      <c r="G100">
        <v>141040.87484116899</v>
      </c>
      <c r="H100">
        <f t="shared" si="8"/>
        <v>0</v>
      </c>
      <c r="I100">
        <f t="shared" si="9"/>
        <v>548856.84688691236</v>
      </c>
      <c r="J100">
        <f t="shared" si="10"/>
        <v>250106.45210582259</v>
      </c>
      <c r="K100">
        <f t="shared" si="11"/>
        <v>1154766.7996736113</v>
      </c>
    </row>
    <row r="101" spans="1:11" x14ac:dyDescent="0.35">
      <c r="A101" s="1" t="s">
        <v>101</v>
      </c>
      <c r="B101">
        <v>1445752.3075842699</v>
      </c>
      <c r="C101">
        <v>1007635.556882023</v>
      </c>
      <c r="D101">
        <f t="shared" si="6"/>
        <v>1</v>
      </c>
      <c r="E101">
        <f t="shared" si="7"/>
        <v>-438116.75070224691</v>
      </c>
      <c r="F101">
        <v>996236.48773448775</v>
      </c>
      <c r="G101">
        <v>1441310.8298460799</v>
      </c>
      <c r="H101">
        <f t="shared" si="8"/>
        <v>1</v>
      </c>
      <c r="I101">
        <f t="shared" si="9"/>
        <v>-445074.34211159218</v>
      </c>
      <c r="J101">
        <f t="shared" si="10"/>
        <v>2887063.1374303498</v>
      </c>
      <c r="K101">
        <f t="shared" si="11"/>
        <v>2003872.0446165106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2025-05-13T13:53:48Z</dcterms:created>
  <dcterms:modified xsi:type="dcterms:W3CDTF">2025-05-20T13:51:47Z</dcterms:modified>
</cp:coreProperties>
</file>