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JJ\Data_bases\DB_tests\Cause_effect_pair\"/>
    </mc:Choice>
  </mc:AlternateContent>
  <xr:revisionPtr revIDLastSave="0" documentId="13_ncr:1_{44C9CAEC-9E87-42BB-85E9-AC5047978C7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D3" i="1"/>
  <c r="D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  <c r="K1" i="1" l="1"/>
</calcChain>
</file>

<file path=xl/sharedStrings.xml><?xml version="1.0" encoding="utf-8"?>
<sst xmlns="http://schemas.openxmlformats.org/spreadsheetml/2006/main" count="106" uniqueCount="104">
  <si>
    <t>Path(['drop_duplicates_mean']A)</t>
  </si>
  <si>
    <t>Path(['drop_duplicates_mean']B)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</si>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</sst>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>
      <selection activeCell="L9" sqref="L9"/>
    </sheetView>
  </sheetViews>
  <sheetFormatPr defaultRowHeight="14.5" x14ac:dyDescent="0.35"/>
  <cols>
    <col min="1" max="1" width="8.81640625" bestFit="1" customWidth="1"/>
    <col min="2" max="2" width="29" bestFit="1" customWidth="1"/>
    <col min="3" max="3" width="28.90625" bestFit="1" customWidth="1"/>
    <col min="4" max="4" width="28.90625" customWidth="1"/>
    <col min="5" max="5" width="28.90625" bestFit="1" customWidth="1"/>
    <col min="6" max="6" width="29" bestFit="1" customWidth="1"/>
  </cols>
  <sheetData>
    <row r="1" spans="1:11" x14ac:dyDescent="0.35">
      <c r="B1" s="1" t="s">
        <v>0</v>
      </c>
      <c r="C1" s="1" t="s">
        <v>1</v>
      </c>
      <c r="D1">
        <f>SUM(D2:D101)</f>
        <v>68</v>
      </c>
      <c r="E1" s="1" t="s">
        <v>1</v>
      </c>
      <c r="F1" s="1" t="s">
        <v>0</v>
      </c>
      <c r="G1">
        <f>SUM(G2:G101)</f>
        <v>58</v>
      </c>
      <c r="I1" t="s">
        <v>102</v>
      </c>
      <c r="J1" t="s">
        <v>103</v>
      </c>
      <c r="K1">
        <f>SUM(K2:K101)</f>
        <v>65</v>
      </c>
    </row>
    <row r="2" spans="1:11" x14ac:dyDescent="0.35">
      <c r="A2" s="1" t="s">
        <v>2</v>
      </c>
      <c r="B2">
        <v>159.37988262053861</v>
      </c>
      <c r="C2">
        <v>112.0439066903737</v>
      </c>
      <c r="D2">
        <f>IF(B2&gt;C2,1,0)</f>
        <v>1</v>
      </c>
      <c r="E2">
        <v>559.32692177777506</v>
      </c>
      <c r="F2">
        <v>784.12307098408701</v>
      </c>
      <c r="G2">
        <f t="shared" ref="G2:G65" si="0">IF(E2&lt;F2,1,0)</f>
        <v>1</v>
      </c>
      <c r="I2">
        <f>C2-E2</f>
        <v>-447.28301508740134</v>
      </c>
      <c r="J2">
        <f>F2-B2</f>
        <v>624.74318836354837</v>
      </c>
      <c r="K2">
        <f>IF(I2&lt;J2,1,0)</f>
        <v>1</v>
      </c>
    </row>
    <row r="3" spans="1:11" x14ac:dyDescent="0.35">
      <c r="A3" s="1" t="s">
        <v>3</v>
      </c>
      <c r="B3">
        <v>212.78548149901701</v>
      </c>
      <c r="C3">
        <v>164.49175430848979</v>
      </c>
      <c r="D3">
        <f t="shared" ref="D3:D66" si="1">IF(B3&gt;C3,1,0)</f>
        <v>1</v>
      </c>
      <c r="E3">
        <v>167.7347895731603</v>
      </c>
      <c r="F3">
        <v>204.6936469462654</v>
      </c>
      <c r="G3">
        <f t="shared" si="0"/>
        <v>1</v>
      </c>
      <c r="I3">
        <f t="shared" ref="I3:I66" si="2">C3-E3</f>
        <v>-3.2430352646705103</v>
      </c>
      <c r="J3">
        <f t="shared" ref="J3:J66" si="3">F3-B3</f>
        <v>-8.0918345527516067</v>
      </c>
      <c r="K3">
        <f t="shared" ref="K3:K66" si="4">IF(I3&lt;J3,1,0)</f>
        <v>0</v>
      </c>
    </row>
    <row r="4" spans="1:11" x14ac:dyDescent="0.35">
      <c r="A4" s="1" t="s">
        <v>4</v>
      </c>
      <c r="B4">
        <v>4.7868421052631582</v>
      </c>
      <c r="C4">
        <v>3.197357033231202</v>
      </c>
      <c r="D4">
        <f t="shared" si="1"/>
        <v>1</v>
      </c>
      <c r="E4">
        <v>135.4099264289959</v>
      </c>
      <c r="F4">
        <v>119.1166826069135</v>
      </c>
      <c r="G4">
        <f t="shared" si="0"/>
        <v>0</v>
      </c>
      <c r="I4">
        <f t="shared" si="2"/>
        <v>-132.21256939576469</v>
      </c>
      <c r="J4">
        <f t="shared" si="3"/>
        <v>114.32984050165034</v>
      </c>
      <c r="K4">
        <f t="shared" si="4"/>
        <v>1</v>
      </c>
    </row>
    <row r="5" spans="1:11" x14ac:dyDescent="0.35">
      <c r="A5" s="1" t="s">
        <v>5</v>
      </c>
      <c r="B5">
        <v>220.64698844437029</v>
      </c>
      <c r="C5">
        <v>156.78249158087019</v>
      </c>
      <c r="D5">
        <f t="shared" si="1"/>
        <v>1</v>
      </c>
      <c r="E5">
        <v>159.50194024757721</v>
      </c>
      <c r="F5">
        <v>204.29124531262309</v>
      </c>
      <c r="G5">
        <f t="shared" si="0"/>
        <v>1</v>
      </c>
      <c r="I5">
        <f t="shared" si="2"/>
        <v>-2.7194486667070237</v>
      </c>
      <c r="J5">
        <f t="shared" si="3"/>
        <v>-16.355743131747204</v>
      </c>
      <c r="K5">
        <f t="shared" si="4"/>
        <v>0</v>
      </c>
    </row>
    <row r="6" spans="1:11" x14ac:dyDescent="0.35">
      <c r="A6" s="1" t="s">
        <v>6</v>
      </c>
      <c r="B6">
        <v>8.92</v>
      </c>
      <c r="C6">
        <v>5.1716985001490956</v>
      </c>
      <c r="D6">
        <f t="shared" si="1"/>
        <v>1</v>
      </c>
      <c r="E6">
        <v>150.49734614989441</v>
      </c>
      <c r="F6">
        <v>111.189505739049</v>
      </c>
      <c r="G6">
        <f t="shared" si="0"/>
        <v>0</v>
      </c>
      <c r="I6">
        <f t="shared" si="2"/>
        <v>-145.32564764974532</v>
      </c>
      <c r="J6">
        <f t="shared" si="3"/>
        <v>102.26950573904899</v>
      </c>
      <c r="K6">
        <f t="shared" si="4"/>
        <v>1</v>
      </c>
    </row>
    <row r="7" spans="1:11" x14ac:dyDescent="0.35">
      <c r="A7" s="1" t="s">
        <v>7</v>
      </c>
      <c r="B7">
        <v>204.1842392662669</v>
      </c>
      <c r="C7">
        <v>352.96433819807987</v>
      </c>
      <c r="D7">
        <f t="shared" si="1"/>
        <v>0</v>
      </c>
      <c r="E7">
        <v>365.41944470996373</v>
      </c>
      <c r="F7">
        <v>184.1640989627893</v>
      </c>
      <c r="G7">
        <f t="shared" si="0"/>
        <v>0</v>
      </c>
      <c r="I7">
        <f t="shared" si="2"/>
        <v>-12.455106511883855</v>
      </c>
      <c r="J7">
        <f t="shared" si="3"/>
        <v>-20.020140303477604</v>
      </c>
      <c r="K7">
        <f t="shared" si="4"/>
        <v>0</v>
      </c>
    </row>
    <row r="8" spans="1:11" x14ac:dyDescent="0.35">
      <c r="A8" s="1" t="s">
        <v>8</v>
      </c>
      <c r="B8">
        <v>215.4122560499998</v>
      </c>
      <c r="C8">
        <v>209.96621550077441</v>
      </c>
      <c r="D8">
        <f t="shared" si="1"/>
        <v>1</v>
      </c>
      <c r="E8">
        <v>221.02603653211079</v>
      </c>
      <c r="F8">
        <v>212.52529709213931</v>
      </c>
      <c r="G8">
        <f t="shared" si="0"/>
        <v>0</v>
      </c>
      <c r="I8">
        <f t="shared" si="2"/>
        <v>-11.059821031336384</v>
      </c>
      <c r="J8">
        <f t="shared" si="3"/>
        <v>-2.886958957860486</v>
      </c>
      <c r="K8">
        <f t="shared" si="4"/>
        <v>1</v>
      </c>
    </row>
    <row r="9" spans="1:11" x14ac:dyDescent="0.35">
      <c r="A9" s="1" t="s">
        <v>9</v>
      </c>
      <c r="B9">
        <v>159.89182932970411</v>
      </c>
      <c r="C9">
        <v>1023.128168275838</v>
      </c>
      <c r="D9">
        <f t="shared" si="1"/>
        <v>0</v>
      </c>
      <c r="E9">
        <v>15.368336833683371</v>
      </c>
      <c r="F9">
        <v>2.531764335347058</v>
      </c>
      <c r="G9">
        <f t="shared" si="0"/>
        <v>0</v>
      </c>
      <c r="I9">
        <f t="shared" si="2"/>
        <v>1007.7598314421547</v>
      </c>
      <c r="J9">
        <f t="shared" si="3"/>
        <v>-157.36006499435706</v>
      </c>
      <c r="K9">
        <f t="shared" si="4"/>
        <v>0</v>
      </c>
    </row>
    <row r="10" spans="1:11" x14ac:dyDescent="0.35">
      <c r="A10" s="1" t="s">
        <v>10</v>
      </c>
      <c r="B10">
        <v>157.87116539161221</v>
      </c>
      <c r="C10">
        <v>310.57671006739548</v>
      </c>
      <c r="D10">
        <f t="shared" si="1"/>
        <v>0</v>
      </c>
      <c r="E10">
        <v>341.0300454355708</v>
      </c>
      <c r="F10">
        <v>155.59119703721879</v>
      </c>
      <c r="G10">
        <f t="shared" si="0"/>
        <v>0</v>
      </c>
      <c r="I10">
        <f t="shared" si="2"/>
        <v>-30.453335368175317</v>
      </c>
      <c r="J10">
        <f t="shared" si="3"/>
        <v>-2.2799683543934179</v>
      </c>
      <c r="K10">
        <f t="shared" si="4"/>
        <v>1</v>
      </c>
    </row>
    <row r="11" spans="1:11" x14ac:dyDescent="0.35">
      <c r="A11" s="1" t="s">
        <v>11</v>
      </c>
      <c r="B11">
        <v>85.362636041128013</v>
      </c>
      <c r="C11">
        <v>40.046875335339557</v>
      </c>
      <c r="D11">
        <f t="shared" si="1"/>
        <v>1</v>
      </c>
      <c r="E11">
        <v>184.81705514258121</v>
      </c>
      <c r="F11">
        <v>217.65594455885719</v>
      </c>
      <c r="G11">
        <f t="shared" si="0"/>
        <v>1</v>
      </c>
      <c r="I11">
        <f t="shared" si="2"/>
        <v>-144.77017980724165</v>
      </c>
      <c r="J11">
        <f t="shared" si="3"/>
        <v>132.29330851772917</v>
      </c>
      <c r="K11">
        <f t="shared" si="4"/>
        <v>1</v>
      </c>
    </row>
    <row r="12" spans="1:11" x14ac:dyDescent="0.35">
      <c r="A12" s="1" t="s">
        <v>12</v>
      </c>
      <c r="B12">
        <v>7.4746478873239441</v>
      </c>
      <c r="C12">
        <v>4.5511393808761866</v>
      </c>
      <c r="D12">
        <f t="shared" si="1"/>
        <v>1</v>
      </c>
      <c r="E12">
        <v>233.93149080436001</v>
      </c>
      <c r="F12">
        <v>107.1991637503977</v>
      </c>
      <c r="G12">
        <f t="shared" si="0"/>
        <v>0</v>
      </c>
      <c r="I12">
        <f t="shared" si="2"/>
        <v>-229.38035142348383</v>
      </c>
      <c r="J12">
        <f t="shared" si="3"/>
        <v>99.724515863073762</v>
      </c>
      <c r="K12">
        <f t="shared" si="4"/>
        <v>1</v>
      </c>
    </row>
    <row r="13" spans="1:11" x14ac:dyDescent="0.35">
      <c r="A13" s="1" t="s">
        <v>13</v>
      </c>
      <c r="B13">
        <v>153.24505060979729</v>
      </c>
      <c r="C13">
        <v>89.211964039347222</v>
      </c>
      <c r="D13">
        <f t="shared" si="1"/>
        <v>1</v>
      </c>
      <c r="E13">
        <v>91.66831965321559</v>
      </c>
      <c r="F13">
        <v>138.76400523745411</v>
      </c>
      <c r="G13">
        <f t="shared" si="0"/>
        <v>1</v>
      </c>
      <c r="I13">
        <f t="shared" si="2"/>
        <v>-2.456355613868368</v>
      </c>
      <c r="J13">
        <f t="shared" si="3"/>
        <v>-14.481045372343175</v>
      </c>
      <c r="K13">
        <f t="shared" si="4"/>
        <v>0</v>
      </c>
    </row>
    <row r="14" spans="1:11" x14ac:dyDescent="0.35">
      <c r="A14" s="1" t="s">
        <v>14</v>
      </c>
      <c r="B14">
        <v>6.3</v>
      </c>
      <c r="C14">
        <v>2.0642347767107529</v>
      </c>
      <c r="D14">
        <f t="shared" si="1"/>
        <v>1</v>
      </c>
      <c r="E14">
        <v>117.6818188509735</v>
      </c>
      <c r="F14">
        <v>392.59060574129069</v>
      </c>
      <c r="G14">
        <f t="shared" si="0"/>
        <v>1</v>
      </c>
      <c r="I14">
        <f t="shared" si="2"/>
        <v>-115.61758407426275</v>
      </c>
      <c r="J14">
        <f t="shared" si="3"/>
        <v>386.29060574129068</v>
      </c>
      <c r="K14">
        <f t="shared" si="4"/>
        <v>1</v>
      </c>
    </row>
    <row r="15" spans="1:11" x14ac:dyDescent="0.35">
      <c r="A15" s="1" t="s">
        <v>15</v>
      </c>
      <c r="B15">
        <v>206.6672502334267</v>
      </c>
      <c r="C15">
        <v>98.552151376929089</v>
      </c>
      <c r="D15">
        <f t="shared" si="1"/>
        <v>1</v>
      </c>
      <c r="E15">
        <v>275.17782759048958</v>
      </c>
      <c r="F15">
        <v>835.86125169732134</v>
      </c>
      <c r="G15">
        <f t="shared" si="0"/>
        <v>1</v>
      </c>
      <c r="I15">
        <f t="shared" si="2"/>
        <v>-176.6256762135605</v>
      </c>
      <c r="J15">
        <f t="shared" si="3"/>
        <v>629.19400146389466</v>
      </c>
      <c r="K15">
        <f t="shared" si="4"/>
        <v>1</v>
      </c>
    </row>
    <row r="16" spans="1:11" x14ac:dyDescent="0.35">
      <c r="A16" s="1" t="s">
        <v>16</v>
      </c>
      <c r="B16">
        <v>198.53372531055879</v>
      </c>
      <c r="C16">
        <v>198.00338005015641</v>
      </c>
      <c r="D16">
        <f t="shared" si="1"/>
        <v>1</v>
      </c>
      <c r="E16">
        <v>207.3014858028906</v>
      </c>
      <c r="F16">
        <v>212.07714208219801</v>
      </c>
      <c r="G16">
        <f t="shared" si="0"/>
        <v>1</v>
      </c>
      <c r="I16">
        <f t="shared" si="2"/>
        <v>-9.2981057527341875</v>
      </c>
      <c r="J16">
        <f t="shared" si="3"/>
        <v>13.543416771639215</v>
      </c>
      <c r="K16">
        <f t="shared" si="4"/>
        <v>1</v>
      </c>
    </row>
    <row r="17" spans="1:11" x14ac:dyDescent="0.35">
      <c r="A17" s="1" t="s">
        <v>17</v>
      </c>
      <c r="B17">
        <v>71.416447015361257</v>
      </c>
      <c r="C17">
        <v>26.089202141094081</v>
      </c>
      <c r="D17">
        <f t="shared" si="1"/>
        <v>1</v>
      </c>
      <c r="E17">
        <v>130.97288923894931</v>
      </c>
      <c r="F17">
        <v>385.70139096884128</v>
      </c>
      <c r="G17">
        <f t="shared" si="0"/>
        <v>1</v>
      </c>
      <c r="I17">
        <f t="shared" si="2"/>
        <v>-104.88368709785523</v>
      </c>
      <c r="J17">
        <f t="shared" si="3"/>
        <v>314.28494395348002</v>
      </c>
      <c r="K17">
        <f t="shared" si="4"/>
        <v>1</v>
      </c>
    </row>
    <row r="18" spans="1:11" x14ac:dyDescent="0.35">
      <c r="A18" s="1" t="s">
        <v>18</v>
      </c>
      <c r="B18">
        <v>144.8711051866714</v>
      </c>
      <c r="C18">
        <v>146.37163774244789</v>
      </c>
      <c r="D18">
        <f t="shared" si="1"/>
        <v>0</v>
      </c>
      <c r="E18">
        <v>150.66214384680299</v>
      </c>
      <c r="F18">
        <v>136.55757670467889</v>
      </c>
      <c r="G18">
        <f t="shared" si="0"/>
        <v>0</v>
      </c>
      <c r="I18">
        <f t="shared" si="2"/>
        <v>-4.2905061043551029</v>
      </c>
      <c r="J18">
        <f t="shared" si="3"/>
        <v>-8.3135284819925062</v>
      </c>
      <c r="K18">
        <f t="shared" si="4"/>
        <v>0</v>
      </c>
    </row>
    <row r="19" spans="1:11" x14ac:dyDescent="0.35">
      <c r="A19" s="1" t="s">
        <v>19</v>
      </c>
      <c r="B19">
        <v>320.54316411865437</v>
      </c>
      <c r="C19">
        <v>153.800360406279</v>
      </c>
      <c r="D19">
        <f t="shared" si="1"/>
        <v>1</v>
      </c>
      <c r="E19">
        <v>173.5241448982537</v>
      </c>
      <c r="F19">
        <v>355.16409315963</v>
      </c>
      <c r="G19">
        <f t="shared" si="0"/>
        <v>1</v>
      </c>
      <c r="I19">
        <f t="shared" si="2"/>
        <v>-19.723784491974698</v>
      </c>
      <c r="J19">
        <f t="shared" si="3"/>
        <v>34.620929040975625</v>
      </c>
      <c r="K19">
        <f t="shared" si="4"/>
        <v>1</v>
      </c>
    </row>
    <row r="20" spans="1:11" x14ac:dyDescent="0.35">
      <c r="A20" s="1" t="s">
        <v>20</v>
      </c>
      <c r="B20">
        <v>236.6929987452036</v>
      </c>
      <c r="C20">
        <v>325.41434483797877</v>
      </c>
      <c r="D20">
        <f t="shared" si="1"/>
        <v>0</v>
      </c>
      <c r="E20">
        <v>333.68499701230343</v>
      </c>
      <c r="F20">
        <v>215.06498924649961</v>
      </c>
      <c r="G20">
        <f t="shared" si="0"/>
        <v>0</v>
      </c>
      <c r="I20">
        <f t="shared" si="2"/>
        <v>-8.2706521743246526</v>
      </c>
      <c r="J20">
        <f t="shared" si="3"/>
        <v>-21.628009498703989</v>
      </c>
      <c r="K20">
        <f t="shared" si="4"/>
        <v>0</v>
      </c>
    </row>
    <row r="21" spans="1:11" x14ac:dyDescent="0.35">
      <c r="A21" s="1" t="s">
        <v>21</v>
      </c>
      <c r="B21">
        <v>148.02238602491289</v>
      </c>
      <c r="C21">
        <v>115.41122424663089</v>
      </c>
      <c r="D21">
        <f t="shared" si="1"/>
        <v>1</v>
      </c>
      <c r="E21">
        <v>120.8932084241507</v>
      </c>
      <c r="F21">
        <v>145.0000660322452</v>
      </c>
      <c r="G21">
        <f t="shared" si="0"/>
        <v>1</v>
      </c>
      <c r="I21">
        <f t="shared" si="2"/>
        <v>-5.4819841775198057</v>
      </c>
      <c r="J21">
        <f t="shared" si="3"/>
        <v>-3.0223199926676898</v>
      </c>
      <c r="K21">
        <f t="shared" si="4"/>
        <v>1</v>
      </c>
    </row>
    <row r="22" spans="1:11" x14ac:dyDescent="0.35">
      <c r="A22" s="1" t="s">
        <v>22</v>
      </c>
      <c r="B22">
        <v>150.24483233206891</v>
      </c>
      <c r="C22">
        <v>204.546736747089</v>
      </c>
      <c r="D22">
        <f t="shared" si="1"/>
        <v>0</v>
      </c>
      <c r="E22">
        <v>211.5718449846201</v>
      </c>
      <c r="F22">
        <v>150.12689248601211</v>
      </c>
      <c r="G22">
        <f t="shared" si="0"/>
        <v>0</v>
      </c>
      <c r="I22">
        <f t="shared" si="2"/>
        <v>-7.0251082375311</v>
      </c>
      <c r="J22">
        <f t="shared" si="3"/>
        <v>-0.11793984605679952</v>
      </c>
      <c r="K22">
        <f t="shared" si="4"/>
        <v>1</v>
      </c>
    </row>
    <row r="23" spans="1:11" x14ac:dyDescent="0.35">
      <c r="A23" s="1" t="s">
        <v>23</v>
      </c>
      <c r="B23">
        <v>4.0753564154786153</v>
      </c>
      <c r="C23">
        <v>2.938525955852016</v>
      </c>
      <c r="D23">
        <f t="shared" si="1"/>
        <v>1</v>
      </c>
      <c r="E23">
        <v>28.625811866045119</v>
      </c>
      <c r="F23">
        <v>63.300423131170668</v>
      </c>
      <c r="G23">
        <f t="shared" si="0"/>
        <v>1</v>
      </c>
      <c r="I23">
        <f t="shared" si="2"/>
        <v>-25.687285910193104</v>
      </c>
      <c r="J23">
        <f t="shared" si="3"/>
        <v>59.225066715692051</v>
      </c>
      <c r="K23">
        <f t="shared" si="4"/>
        <v>1</v>
      </c>
    </row>
    <row r="24" spans="1:11" x14ac:dyDescent="0.35">
      <c r="A24" s="1" t="s">
        <v>24</v>
      </c>
      <c r="B24">
        <v>166.97642887029531</v>
      </c>
      <c r="C24">
        <v>188.59743136591871</v>
      </c>
      <c r="D24">
        <f t="shared" si="1"/>
        <v>0</v>
      </c>
      <c r="E24">
        <v>189.8685156406134</v>
      </c>
      <c r="F24">
        <v>161.30733819424211</v>
      </c>
      <c r="G24">
        <f t="shared" si="0"/>
        <v>0</v>
      </c>
      <c r="I24">
        <f t="shared" si="2"/>
        <v>-1.2710842746946867</v>
      </c>
      <c r="J24">
        <f t="shared" si="3"/>
        <v>-5.6690906760532016</v>
      </c>
      <c r="K24">
        <f t="shared" si="4"/>
        <v>0</v>
      </c>
    </row>
    <row r="25" spans="1:11" x14ac:dyDescent="0.35">
      <c r="A25" s="1" t="s">
        <v>25</v>
      </c>
      <c r="B25">
        <v>567.63100938528373</v>
      </c>
      <c r="C25">
        <v>450.58525540112379</v>
      </c>
      <c r="D25">
        <f t="shared" si="1"/>
        <v>1</v>
      </c>
      <c r="E25">
        <v>471.09563061603131</v>
      </c>
      <c r="F25">
        <v>576.66083011795718</v>
      </c>
      <c r="G25">
        <f t="shared" si="0"/>
        <v>1</v>
      </c>
      <c r="I25">
        <f t="shared" si="2"/>
        <v>-20.510375214907526</v>
      </c>
      <c r="J25">
        <f t="shared" si="3"/>
        <v>9.0298207326734428</v>
      </c>
      <c r="K25">
        <f t="shared" si="4"/>
        <v>1</v>
      </c>
    </row>
    <row r="26" spans="1:11" x14ac:dyDescent="0.35">
      <c r="A26" s="1" t="s">
        <v>26</v>
      </c>
      <c r="B26">
        <v>166.9772489914607</v>
      </c>
      <c r="C26">
        <v>42.333892617884523</v>
      </c>
      <c r="D26">
        <f t="shared" si="1"/>
        <v>1</v>
      </c>
      <c r="E26">
        <v>133.27878460937319</v>
      </c>
      <c r="F26">
        <v>951.89476432253889</v>
      </c>
      <c r="G26">
        <f t="shared" si="0"/>
        <v>1</v>
      </c>
      <c r="I26">
        <f t="shared" si="2"/>
        <v>-90.944891991488674</v>
      </c>
      <c r="J26">
        <f t="shared" si="3"/>
        <v>784.91751533107822</v>
      </c>
      <c r="K26">
        <f t="shared" si="4"/>
        <v>1</v>
      </c>
    </row>
    <row r="27" spans="1:11" x14ac:dyDescent="0.35">
      <c r="A27" s="1" t="s">
        <v>27</v>
      </c>
      <c r="B27">
        <v>260.81402679840869</v>
      </c>
      <c r="C27">
        <v>164.33275637767491</v>
      </c>
      <c r="D27">
        <f t="shared" si="1"/>
        <v>1</v>
      </c>
      <c r="E27">
        <v>182.53040720737729</v>
      </c>
      <c r="F27">
        <v>288.57859149253028</v>
      </c>
      <c r="G27">
        <f t="shared" si="0"/>
        <v>1</v>
      </c>
      <c r="I27">
        <f t="shared" si="2"/>
        <v>-18.197650829702383</v>
      </c>
      <c r="J27">
        <f t="shared" si="3"/>
        <v>27.764564694121589</v>
      </c>
      <c r="K27">
        <f t="shared" si="4"/>
        <v>1</v>
      </c>
    </row>
    <row r="28" spans="1:11" x14ac:dyDescent="0.35">
      <c r="A28" s="1" t="s">
        <v>28</v>
      </c>
      <c r="B28">
        <v>135.2156700388806</v>
      </c>
      <c r="C28">
        <v>131.00944668787361</v>
      </c>
      <c r="D28">
        <f t="shared" si="1"/>
        <v>1</v>
      </c>
      <c r="E28">
        <v>134.79510294761371</v>
      </c>
      <c r="F28">
        <v>130.41900752541011</v>
      </c>
      <c r="G28">
        <f t="shared" si="0"/>
        <v>0</v>
      </c>
      <c r="I28">
        <f t="shared" si="2"/>
        <v>-3.785656259740108</v>
      </c>
      <c r="J28">
        <f t="shared" si="3"/>
        <v>-4.7966625134704941</v>
      </c>
      <c r="K28">
        <f t="shared" si="4"/>
        <v>0</v>
      </c>
    </row>
    <row r="29" spans="1:11" x14ac:dyDescent="0.35">
      <c r="A29" s="1" t="s">
        <v>29</v>
      </c>
      <c r="B29">
        <v>291.93217913481919</v>
      </c>
      <c r="C29">
        <v>183.0188929854836</v>
      </c>
      <c r="D29">
        <f t="shared" si="1"/>
        <v>1</v>
      </c>
      <c r="E29">
        <v>186.8280061017723</v>
      </c>
      <c r="F29">
        <v>275.35127721919258</v>
      </c>
      <c r="G29">
        <f t="shared" si="0"/>
        <v>1</v>
      </c>
      <c r="I29">
        <f t="shared" si="2"/>
        <v>-3.8091131162886995</v>
      </c>
      <c r="J29">
        <f t="shared" si="3"/>
        <v>-16.580901915626612</v>
      </c>
      <c r="K29">
        <f t="shared" si="4"/>
        <v>0</v>
      </c>
    </row>
    <row r="30" spans="1:11" x14ac:dyDescent="0.35">
      <c r="A30" s="1" t="s">
        <v>30</v>
      </c>
      <c r="B30">
        <v>31.007260726072609</v>
      </c>
      <c r="C30">
        <v>29.289444975314659</v>
      </c>
      <c r="D30">
        <f t="shared" si="1"/>
        <v>1</v>
      </c>
      <c r="E30">
        <v>204.69883782430219</v>
      </c>
      <c r="F30">
        <v>104.66600075000849</v>
      </c>
      <c r="G30">
        <f t="shared" si="0"/>
        <v>0</v>
      </c>
      <c r="I30">
        <f t="shared" si="2"/>
        <v>-175.40939284898752</v>
      </c>
      <c r="J30">
        <f t="shared" si="3"/>
        <v>73.658740023935877</v>
      </c>
      <c r="K30">
        <f t="shared" si="4"/>
        <v>1</v>
      </c>
    </row>
    <row r="31" spans="1:11" x14ac:dyDescent="0.35">
      <c r="A31" s="1" t="s">
        <v>31</v>
      </c>
      <c r="B31">
        <v>247.62953452949239</v>
      </c>
      <c r="C31">
        <v>201.04384477413569</v>
      </c>
      <c r="D31">
        <f t="shared" si="1"/>
        <v>1</v>
      </c>
      <c r="E31">
        <v>213.2541339621794</v>
      </c>
      <c r="F31">
        <v>247.36923881386539</v>
      </c>
      <c r="G31">
        <f t="shared" si="0"/>
        <v>1</v>
      </c>
      <c r="I31">
        <f t="shared" si="2"/>
        <v>-12.210289188043703</v>
      </c>
      <c r="J31">
        <f t="shared" si="3"/>
        <v>-0.26029571562699516</v>
      </c>
      <c r="K31">
        <f t="shared" si="4"/>
        <v>1</v>
      </c>
    </row>
    <row r="32" spans="1:11" x14ac:dyDescent="0.35">
      <c r="A32" s="1" t="s">
        <v>32</v>
      </c>
      <c r="B32">
        <v>92.023459294953085</v>
      </c>
      <c r="C32">
        <v>34.417536949602408</v>
      </c>
      <c r="D32">
        <f t="shared" si="1"/>
        <v>1</v>
      </c>
      <c r="E32">
        <v>123.8192938472922</v>
      </c>
      <c r="F32">
        <v>1289.513285855073</v>
      </c>
      <c r="G32">
        <f t="shared" si="0"/>
        <v>1</v>
      </c>
      <c r="I32">
        <f t="shared" si="2"/>
        <v>-89.401756897689793</v>
      </c>
      <c r="J32">
        <f t="shared" si="3"/>
        <v>1197.48982656012</v>
      </c>
      <c r="K32">
        <f t="shared" si="4"/>
        <v>1</v>
      </c>
    </row>
    <row r="33" spans="1:11" x14ac:dyDescent="0.35">
      <c r="A33" s="1" t="s">
        <v>33</v>
      </c>
      <c r="B33">
        <v>21.475236339382501</v>
      </c>
      <c r="C33">
        <v>27.814004447178981</v>
      </c>
      <c r="D33">
        <f t="shared" si="1"/>
        <v>0</v>
      </c>
      <c r="E33">
        <v>36.360146178890872</v>
      </c>
      <c r="F33">
        <v>21.679933258992179</v>
      </c>
      <c r="G33">
        <f t="shared" si="0"/>
        <v>0</v>
      </c>
      <c r="I33">
        <f t="shared" si="2"/>
        <v>-8.5461417317118915</v>
      </c>
      <c r="J33">
        <f t="shared" si="3"/>
        <v>0.20469691960967751</v>
      </c>
      <c r="K33">
        <f t="shared" si="4"/>
        <v>1</v>
      </c>
    </row>
    <row r="34" spans="1:11" x14ac:dyDescent="0.35">
      <c r="A34" s="1" t="s">
        <v>34</v>
      </c>
      <c r="B34">
        <v>26.83182906612636</v>
      </c>
      <c r="C34">
        <v>2.061340568474646</v>
      </c>
      <c r="D34">
        <f t="shared" si="1"/>
        <v>1</v>
      </c>
      <c r="E34">
        <v>16.639611266881939</v>
      </c>
      <c r="F34">
        <v>269.82355734386329</v>
      </c>
      <c r="G34">
        <f t="shared" si="0"/>
        <v>1</v>
      </c>
      <c r="I34">
        <f t="shared" si="2"/>
        <v>-14.578270698407293</v>
      </c>
      <c r="J34">
        <f t="shared" si="3"/>
        <v>242.99172827773691</v>
      </c>
      <c r="K34">
        <f t="shared" si="4"/>
        <v>1</v>
      </c>
    </row>
    <row r="35" spans="1:11" x14ac:dyDescent="0.35">
      <c r="A35" s="1" t="s">
        <v>35</v>
      </c>
      <c r="B35">
        <v>74.280966302508077</v>
      </c>
      <c r="C35">
        <v>47.585872207116722</v>
      </c>
      <c r="D35">
        <f t="shared" si="1"/>
        <v>1</v>
      </c>
      <c r="E35">
        <v>143.85334045515901</v>
      </c>
      <c r="F35">
        <v>366.81363809201082</v>
      </c>
      <c r="G35">
        <f t="shared" si="0"/>
        <v>1</v>
      </c>
      <c r="I35">
        <f t="shared" si="2"/>
        <v>-96.267468248042292</v>
      </c>
      <c r="J35">
        <f t="shared" si="3"/>
        <v>292.53267178950273</v>
      </c>
      <c r="K35">
        <f t="shared" si="4"/>
        <v>1</v>
      </c>
    </row>
    <row r="36" spans="1:11" x14ac:dyDescent="0.35">
      <c r="A36" s="1" t="s">
        <v>36</v>
      </c>
      <c r="B36">
        <v>111.6239360330152</v>
      </c>
      <c r="C36">
        <v>42.194885972162773</v>
      </c>
      <c r="D36">
        <f t="shared" si="1"/>
        <v>1</v>
      </c>
      <c r="E36">
        <v>216.65567931083601</v>
      </c>
      <c r="F36">
        <v>452.91542057431548</v>
      </c>
      <c r="G36">
        <f t="shared" si="0"/>
        <v>1</v>
      </c>
      <c r="I36">
        <f t="shared" si="2"/>
        <v>-174.46079333867323</v>
      </c>
      <c r="J36">
        <f t="shared" si="3"/>
        <v>341.29148454130029</v>
      </c>
      <c r="K36">
        <f t="shared" si="4"/>
        <v>1</v>
      </c>
    </row>
    <row r="37" spans="1:11" x14ac:dyDescent="0.35">
      <c r="A37" s="1" t="s">
        <v>37</v>
      </c>
      <c r="B37">
        <v>181.02171062071821</v>
      </c>
      <c r="C37">
        <v>169.30085125223701</v>
      </c>
      <c r="D37">
        <f t="shared" si="1"/>
        <v>1</v>
      </c>
      <c r="E37">
        <v>183.80472555031449</v>
      </c>
      <c r="F37">
        <v>179.00885259689471</v>
      </c>
      <c r="G37">
        <f t="shared" si="0"/>
        <v>0</v>
      </c>
      <c r="I37">
        <f t="shared" si="2"/>
        <v>-14.503874298077477</v>
      </c>
      <c r="J37">
        <f t="shared" si="3"/>
        <v>-2.0128580238234974</v>
      </c>
      <c r="K37">
        <f t="shared" si="4"/>
        <v>1</v>
      </c>
    </row>
    <row r="38" spans="1:11" x14ac:dyDescent="0.35">
      <c r="A38" s="1" t="s">
        <v>38</v>
      </c>
      <c r="B38">
        <v>201.22030575209411</v>
      </c>
      <c r="C38">
        <v>215.2391543509577</v>
      </c>
      <c r="D38">
        <f t="shared" si="1"/>
        <v>0</v>
      </c>
      <c r="E38">
        <v>228.77500326029289</v>
      </c>
      <c r="F38">
        <v>181.50896021508959</v>
      </c>
      <c r="G38">
        <f t="shared" si="0"/>
        <v>0</v>
      </c>
      <c r="I38">
        <f t="shared" si="2"/>
        <v>-13.535848909335186</v>
      </c>
      <c r="J38">
        <f t="shared" si="3"/>
        <v>-19.711345537004519</v>
      </c>
      <c r="K38">
        <f t="shared" si="4"/>
        <v>0</v>
      </c>
    </row>
    <row r="39" spans="1:11" x14ac:dyDescent="0.35">
      <c r="A39" s="1" t="s">
        <v>39</v>
      </c>
      <c r="B39">
        <v>108.5541019684558</v>
      </c>
      <c r="C39">
        <v>22.842082583587871</v>
      </c>
      <c r="D39">
        <f t="shared" si="1"/>
        <v>1</v>
      </c>
      <c r="E39">
        <v>117.43003859824501</v>
      </c>
      <c r="F39">
        <v>461.46001691063282</v>
      </c>
      <c r="G39">
        <f t="shared" si="0"/>
        <v>1</v>
      </c>
      <c r="I39">
        <f t="shared" si="2"/>
        <v>-94.587956014657138</v>
      </c>
      <c r="J39">
        <f t="shared" si="3"/>
        <v>352.90591494217699</v>
      </c>
      <c r="K39">
        <f t="shared" si="4"/>
        <v>1</v>
      </c>
    </row>
    <row r="40" spans="1:11" x14ac:dyDescent="0.35">
      <c r="A40" s="1" t="s">
        <v>40</v>
      </c>
      <c r="B40">
        <v>251.31182407451061</v>
      </c>
      <c r="C40">
        <v>218.4090759014496</v>
      </c>
      <c r="D40">
        <f t="shared" si="1"/>
        <v>1</v>
      </c>
      <c r="E40">
        <v>228.30986044826949</v>
      </c>
      <c r="F40">
        <v>238.97849853896949</v>
      </c>
      <c r="G40">
        <f t="shared" si="0"/>
        <v>1</v>
      </c>
      <c r="I40">
        <f t="shared" si="2"/>
        <v>-9.9007845468198923</v>
      </c>
      <c r="J40">
        <f t="shared" si="3"/>
        <v>-12.333325535541121</v>
      </c>
      <c r="K40">
        <f t="shared" si="4"/>
        <v>0</v>
      </c>
    </row>
    <row r="41" spans="1:11" x14ac:dyDescent="0.35">
      <c r="A41" s="1" t="s">
        <v>41</v>
      </c>
      <c r="B41">
        <v>123.7250017236228</v>
      </c>
      <c r="C41">
        <v>40.299084316093918</v>
      </c>
      <c r="D41">
        <f t="shared" si="1"/>
        <v>1</v>
      </c>
      <c r="E41">
        <v>238.40958894898461</v>
      </c>
      <c r="F41">
        <v>639.70494268124958</v>
      </c>
      <c r="G41">
        <f t="shared" si="0"/>
        <v>1</v>
      </c>
      <c r="I41">
        <f t="shared" si="2"/>
        <v>-198.1105046328907</v>
      </c>
      <c r="J41">
        <f t="shared" si="3"/>
        <v>515.97994095762681</v>
      </c>
      <c r="K41">
        <f t="shared" si="4"/>
        <v>1</v>
      </c>
    </row>
    <row r="42" spans="1:11" x14ac:dyDescent="0.35">
      <c r="A42" s="1" t="s">
        <v>42</v>
      </c>
      <c r="B42">
        <v>200.4864538326749</v>
      </c>
      <c r="C42">
        <v>252.34315850091679</v>
      </c>
      <c r="D42">
        <f t="shared" si="1"/>
        <v>0</v>
      </c>
      <c r="E42">
        <v>249.7711969832655</v>
      </c>
      <c r="F42">
        <v>196.2031785921676</v>
      </c>
      <c r="G42">
        <f t="shared" si="0"/>
        <v>0</v>
      </c>
      <c r="I42">
        <f t="shared" si="2"/>
        <v>2.5719615176512889</v>
      </c>
      <c r="J42">
        <f t="shared" si="3"/>
        <v>-4.2832752405072938</v>
      </c>
      <c r="K42">
        <f t="shared" si="4"/>
        <v>0</v>
      </c>
    </row>
    <row r="43" spans="1:11" x14ac:dyDescent="0.35">
      <c r="A43" s="1" t="s">
        <v>43</v>
      </c>
      <c r="B43">
        <v>14.023372287145239</v>
      </c>
      <c r="C43">
        <v>7.1081665225337014</v>
      </c>
      <c r="D43">
        <f t="shared" si="1"/>
        <v>1</v>
      </c>
      <c r="E43">
        <v>208.9866692883854</v>
      </c>
      <c r="F43">
        <v>248.10468229576509</v>
      </c>
      <c r="G43">
        <f t="shared" si="0"/>
        <v>1</v>
      </c>
      <c r="I43">
        <f t="shared" si="2"/>
        <v>-201.87850276585169</v>
      </c>
      <c r="J43">
        <f t="shared" si="3"/>
        <v>234.08131000861985</v>
      </c>
      <c r="K43">
        <f t="shared" si="4"/>
        <v>1</v>
      </c>
    </row>
    <row r="44" spans="1:11" x14ac:dyDescent="0.35">
      <c r="A44" s="1" t="s">
        <v>44</v>
      </c>
      <c r="B44">
        <v>122.86982403154551</v>
      </c>
      <c r="C44">
        <v>218.60741099493339</v>
      </c>
      <c r="D44">
        <f t="shared" si="1"/>
        <v>0</v>
      </c>
      <c r="E44">
        <v>218.57708020115669</v>
      </c>
      <c r="F44">
        <v>115.2347024098478</v>
      </c>
      <c r="G44">
        <f t="shared" si="0"/>
        <v>0</v>
      </c>
      <c r="I44">
        <f t="shared" si="2"/>
        <v>3.0330793776698783E-2</v>
      </c>
      <c r="J44">
        <f t="shared" si="3"/>
        <v>-7.6351216216977065</v>
      </c>
      <c r="K44">
        <f t="shared" si="4"/>
        <v>0</v>
      </c>
    </row>
    <row r="45" spans="1:11" x14ac:dyDescent="0.35">
      <c r="A45" s="1" t="s">
        <v>45</v>
      </c>
      <c r="B45">
        <v>18.366141732283459</v>
      </c>
      <c r="C45">
        <v>4.3682141981820397</v>
      </c>
      <c r="D45">
        <f t="shared" si="1"/>
        <v>1</v>
      </c>
      <c r="E45">
        <v>197.35098575127441</v>
      </c>
      <c r="F45">
        <v>240.8358778625954</v>
      </c>
      <c r="G45">
        <f t="shared" si="0"/>
        <v>1</v>
      </c>
      <c r="I45">
        <f t="shared" si="2"/>
        <v>-192.98277155309236</v>
      </c>
      <c r="J45">
        <f t="shared" si="3"/>
        <v>222.46973613031193</v>
      </c>
      <c r="K45">
        <f t="shared" si="4"/>
        <v>1</v>
      </c>
    </row>
    <row r="46" spans="1:11" x14ac:dyDescent="0.35">
      <c r="A46" s="1" t="s">
        <v>46</v>
      </c>
      <c r="B46">
        <v>175.22865126355629</v>
      </c>
      <c r="C46">
        <v>275.7112805489993</v>
      </c>
      <c r="D46">
        <f t="shared" si="1"/>
        <v>0</v>
      </c>
      <c r="E46">
        <v>307.23765206864869</v>
      </c>
      <c r="F46">
        <v>173.5835000754133</v>
      </c>
      <c r="G46">
        <f t="shared" si="0"/>
        <v>0</v>
      </c>
      <c r="I46">
        <f t="shared" si="2"/>
        <v>-31.526371519649388</v>
      </c>
      <c r="J46">
        <f t="shared" si="3"/>
        <v>-1.6451511881429894</v>
      </c>
      <c r="K46">
        <f t="shared" si="4"/>
        <v>1</v>
      </c>
    </row>
    <row r="47" spans="1:11" x14ac:dyDescent="0.35">
      <c r="A47" s="1" t="s">
        <v>47</v>
      </c>
      <c r="B47">
        <v>292.13799715252799</v>
      </c>
      <c r="C47">
        <v>117.19930948914531</v>
      </c>
      <c r="D47">
        <f t="shared" si="1"/>
        <v>1</v>
      </c>
      <c r="E47">
        <v>128.86854957868971</v>
      </c>
      <c r="F47">
        <v>325.38090076460497</v>
      </c>
      <c r="G47">
        <f t="shared" si="0"/>
        <v>1</v>
      </c>
      <c r="I47">
        <f t="shared" si="2"/>
        <v>-11.669240089544402</v>
      </c>
      <c r="J47">
        <f t="shared" si="3"/>
        <v>33.242903612076987</v>
      </c>
      <c r="K47">
        <f t="shared" si="4"/>
        <v>1</v>
      </c>
    </row>
    <row r="48" spans="1:11" x14ac:dyDescent="0.35">
      <c r="A48" s="1" t="s">
        <v>48</v>
      </c>
      <c r="B48">
        <v>31.000946073793759</v>
      </c>
      <c r="C48">
        <v>10.009715582137041</v>
      </c>
      <c r="D48">
        <f t="shared" si="1"/>
        <v>1</v>
      </c>
      <c r="E48">
        <v>206.03016453325799</v>
      </c>
      <c r="F48">
        <v>417.77652605930189</v>
      </c>
      <c r="G48">
        <f t="shared" si="0"/>
        <v>1</v>
      </c>
      <c r="I48">
        <f t="shared" si="2"/>
        <v>-196.02044895112095</v>
      </c>
      <c r="J48">
        <f t="shared" si="3"/>
        <v>386.7755799855081</v>
      </c>
      <c r="K48">
        <f t="shared" si="4"/>
        <v>1</v>
      </c>
    </row>
    <row r="49" spans="1:11" x14ac:dyDescent="0.35">
      <c r="A49" s="1" t="s">
        <v>49</v>
      </c>
      <c r="B49">
        <v>321.32580002778678</v>
      </c>
      <c r="C49">
        <v>417.74677951862827</v>
      </c>
      <c r="D49">
        <f t="shared" si="1"/>
        <v>0</v>
      </c>
      <c r="E49">
        <v>403.54423895874538</v>
      </c>
      <c r="F49">
        <v>405.71478355262599</v>
      </c>
      <c r="G49">
        <f t="shared" si="0"/>
        <v>1</v>
      </c>
      <c r="I49">
        <f t="shared" si="2"/>
        <v>14.202540559882891</v>
      </c>
      <c r="J49">
        <f t="shared" si="3"/>
        <v>84.388983524839205</v>
      </c>
      <c r="K49">
        <f t="shared" si="4"/>
        <v>1</v>
      </c>
    </row>
    <row r="50" spans="1:11" x14ac:dyDescent="0.35">
      <c r="A50" s="1" t="s">
        <v>50</v>
      </c>
      <c r="B50">
        <v>41.266422844281898</v>
      </c>
      <c r="C50">
        <v>20.302807284005329</v>
      </c>
      <c r="D50">
        <f t="shared" si="1"/>
        <v>1</v>
      </c>
      <c r="E50">
        <v>456.31665913509141</v>
      </c>
      <c r="F50">
        <v>782.64651496177623</v>
      </c>
      <c r="G50">
        <f t="shared" si="0"/>
        <v>1</v>
      </c>
      <c r="I50">
        <f t="shared" si="2"/>
        <v>-436.01385185108609</v>
      </c>
      <c r="J50">
        <f t="shared" si="3"/>
        <v>741.38009211749431</v>
      </c>
      <c r="K50">
        <f t="shared" si="4"/>
        <v>1</v>
      </c>
    </row>
    <row r="51" spans="1:11" x14ac:dyDescent="0.35">
      <c r="A51" s="1" t="s">
        <v>51</v>
      </c>
      <c r="B51">
        <v>141.05379883051779</v>
      </c>
      <c r="C51">
        <v>72.597834638953501</v>
      </c>
      <c r="D51">
        <f t="shared" si="1"/>
        <v>1</v>
      </c>
      <c r="E51">
        <v>71.408676638868073</v>
      </c>
      <c r="F51">
        <v>148.0554061962853</v>
      </c>
      <c r="G51">
        <f t="shared" si="0"/>
        <v>1</v>
      </c>
      <c r="I51">
        <f t="shared" si="2"/>
        <v>1.1891580000854276</v>
      </c>
      <c r="J51">
        <f t="shared" si="3"/>
        <v>7.0016073657675122</v>
      </c>
      <c r="K51">
        <f t="shared" si="4"/>
        <v>1</v>
      </c>
    </row>
    <row r="52" spans="1:11" x14ac:dyDescent="0.35">
      <c r="A52" s="1" t="s">
        <v>52</v>
      </c>
      <c r="B52">
        <v>104.21131783204351</v>
      </c>
      <c r="C52">
        <v>226.09359856895799</v>
      </c>
      <c r="D52">
        <f t="shared" si="1"/>
        <v>0</v>
      </c>
      <c r="E52">
        <v>229.72123931363271</v>
      </c>
      <c r="F52">
        <v>105.38007967791771</v>
      </c>
      <c r="G52">
        <f t="shared" si="0"/>
        <v>0</v>
      </c>
      <c r="I52">
        <f t="shared" si="2"/>
        <v>-3.6276407446747214</v>
      </c>
      <c r="J52">
        <f t="shared" si="3"/>
        <v>1.1687618458742008</v>
      </c>
      <c r="K52">
        <f t="shared" si="4"/>
        <v>1</v>
      </c>
    </row>
    <row r="53" spans="1:11" x14ac:dyDescent="0.35">
      <c r="A53" s="1" t="s">
        <v>53</v>
      </c>
      <c r="B53">
        <v>53.808672573279729</v>
      </c>
      <c r="C53">
        <v>21.497482567633959</v>
      </c>
      <c r="D53">
        <f t="shared" si="1"/>
        <v>1</v>
      </c>
      <c r="E53">
        <v>150.3685613971096</v>
      </c>
      <c r="F53">
        <v>477.82033316212028</v>
      </c>
      <c r="G53">
        <f t="shared" si="0"/>
        <v>1</v>
      </c>
      <c r="I53">
        <f t="shared" si="2"/>
        <v>-128.87107882947564</v>
      </c>
      <c r="J53">
        <f t="shared" si="3"/>
        <v>424.01166058884053</v>
      </c>
      <c r="K53">
        <f t="shared" si="4"/>
        <v>1</v>
      </c>
    </row>
    <row r="54" spans="1:11" x14ac:dyDescent="0.35">
      <c r="A54" s="1" t="s">
        <v>54</v>
      </c>
      <c r="B54">
        <v>193.94088835964601</v>
      </c>
      <c r="C54">
        <v>149.6650196309144</v>
      </c>
      <c r="D54">
        <f t="shared" si="1"/>
        <v>1</v>
      </c>
      <c r="E54">
        <v>163.64680976811539</v>
      </c>
      <c r="F54">
        <v>194.14070588331231</v>
      </c>
      <c r="G54">
        <f t="shared" si="0"/>
        <v>1</v>
      </c>
      <c r="I54">
        <f t="shared" si="2"/>
        <v>-13.981790137200989</v>
      </c>
      <c r="J54">
        <f t="shared" si="3"/>
        <v>0.19981752366629735</v>
      </c>
      <c r="K54">
        <f t="shared" si="4"/>
        <v>1</v>
      </c>
    </row>
    <row r="55" spans="1:11" x14ac:dyDescent="0.35">
      <c r="A55" s="1" t="s">
        <v>55</v>
      </c>
      <c r="B55">
        <v>212.6405468891316</v>
      </c>
      <c r="C55">
        <v>207.60804170867041</v>
      </c>
      <c r="D55">
        <f t="shared" si="1"/>
        <v>1</v>
      </c>
      <c r="E55">
        <v>203.19978804024811</v>
      </c>
      <c r="F55">
        <v>201.43084023800631</v>
      </c>
      <c r="G55">
        <f t="shared" si="0"/>
        <v>0</v>
      </c>
      <c r="I55">
        <f t="shared" si="2"/>
        <v>4.4082536684223044</v>
      </c>
      <c r="J55">
        <f t="shared" si="3"/>
        <v>-11.209706651125288</v>
      </c>
      <c r="K55">
        <f t="shared" si="4"/>
        <v>0</v>
      </c>
    </row>
    <row r="56" spans="1:11" x14ac:dyDescent="0.35">
      <c r="A56" s="1" t="s">
        <v>56</v>
      </c>
      <c r="B56">
        <v>10.879234813084111</v>
      </c>
      <c r="C56">
        <v>6.365784393895753</v>
      </c>
      <c r="D56">
        <f t="shared" si="1"/>
        <v>1</v>
      </c>
      <c r="E56">
        <v>45.475370736366983</v>
      </c>
      <c r="F56">
        <v>86.113841454949338</v>
      </c>
      <c r="G56">
        <f t="shared" si="0"/>
        <v>1</v>
      </c>
      <c r="I56">
        <f t="shared" si="2"/>
        <v>-39.109586342471232</v>
      </c>
      <c r="J56">
        <f t="shared" si="3"/>
        <v>75.234606641865227</v>
      </c>
      <c r="K56">
        <f t="shared" si="4"/>
        <v>1</v>
      </c>
    </row>
    <row r="57" spans="1:11" x14ac:dyDescent="0.35">
      <c r="A57" s="1" t="s">
        <v>57</v>
      </c>
      <c r="B57">
        <v>254.5287285175562</v>
      </c>
      <c r="C57">
        <v>71.54103300325275</v>
      </c>
      <c r="D57">
        <f t="shared" si="1"/>
        <v>1</v>
      </c>
      <c r="E57">
        <v>69.604318793729448</v>
      </c>
      <c r="F57">
        <v>228.44258670727399</v>
      </c>
      <c r="G57">
        <f t="shared" si="0"/>
        <v>1</v>
      </c>
      <c r="I57">
        <f t="shared" si="2"/>
        <v>1.9367142095233021</v>
      </c>
      <c r="J57">
        <f t="shared" si="3"/>
        <v>-26.086141810282214</v>
      </c>
      <c r="K57">
        <f t="shared" si="4"/>
        <v>0</v>
      </c>
    </row>
    <row r="58" spans="1:11" x14ac:dyDescent="0.35">
      <c r="A58" s="1" t="s">
        <v>58</v>
      </c>
      <c r="B58">
        <v>125.294273665243</v>
      </c>
      <c r="C58">
        <v>93.52659379655735</v>
      </c>
      <c r="D58">
        <f t="shared" si="1"/>
        <v>1</v>
      </c>
      <c r="E58">
        <v>97.342185015798094</v>
      </c>
      <c r="F58">
        <v>121.1093680113965</v>
      </c>
      <c r="G58">
        <f t="shared" si="0"/>
        <v>1</v>
      </c>
      <c r="I58">
        <f t="shared" si="2"/>
        <v>-3.8155912192407442</v>
      </c>
      <c r="J58">
        <f t="shared" si="3"/>
        <v>-4.1849056538464993</v>
      </c>
      <c r="K58">
        <f t="shared" si="4"/>
        <v>0</v>
      </c>
    </row>
    <row r="59" spans="1:11" x14ac:dyDescent="0.35">
      <c r="A59" s="1" t="s">
        <v>59</v>
      </c>
      <c r="B59">
        <v>155.19941944963989</v>
      </c>
      <c r="C59">
        <v>200.50242760598101</v>
      </c>
      <c r="D59">
        <f t="shared" si="1"/>
        <v>0</v>
      </c>
      <c r="E59">
        <v>198.36848074994231</v>
      </c>
      <c r="F59">
        <v>149.26916033232629</v>
      </c>
      <c r="G59">
        <f t="shared" si="0"/>
        <v>0</v>
      </c>
      <c r="I59">
        <f t="shared" si="2"/>
        <v>2.1339468560387047</v>
      </c>
      <c r="J59">
        <f t="shared" si="3"/>
        <v>-5.9302591173135966</v>
      </c>
      <c r="K59">
        <f t="shared" si="4"/>
        <v>0</v>
      </c>
    </row>
    <row r="60" spans="1:11" x14ac:dyDescent="0.35">
      <c r="A60" s="1" t="s">
        <v>60</v>
      </c>
      <c r="B60">
        <v>178.4111216064006</v>
      </c>
      <c r="C60">
        <v>796.41475870865224</v>
      </c>
      <c r="D60">
        <f t="shared" si="1"/>
        <v>0</v>
      </c>
      <c r="E60">
        <v>286.45345371927652</v>
      </c>
      <c r="F60">
        <v>77.139142566970307</v>
      </c>
      <c r="G60">
        <f t="shared" si="0"/>
        <v>0</v>
      </c>
      <c r="I60">
        <f t="shared" si="2"/>
        <v>509.96130498937572</v>
      </c>
      <c r="J60">
        <f t="shared" si="3"/>
        <v>-101.27197903943029</v>
      </c>
      <c r="K60">
        <f t="shared" si="4"/>
        <v>0</v>
      </c>
    </row>
    <row r="61" spans="1:11" x14ac:dyDescent="0.35">
      <c r="A61" s="1" t="s">
        <v>61</v>
      </c>
      <c r="B61">
        <v>141.65872728682569</v>
      </c>
      <c r="C61">
        <v>145.72610118476359</v>
      </c>
      <c r="D61">
        <f t="shared" si="1"/>
        <v>0</v>
      </c>
      <c r="E61">
        <v>151.94341759322811</v>
      </c>
      <c r="F61">
        <v>136.06613396982749</v>
      </c>
      <c r="G61">
        <f t="shared" si="0"/>
        <v>0</v>
      </c>
      <c r="I61">
        <f t="shared" si="2"/>
        <v>-6.2173164084645123</v>
      </c>
      <c r="J61">
        <f t="shared" si="3"/>
        <v>-5.5925933169982045</v>
      </c>
      <c r="K61">
        <f t="shared" si="4"/>
        <v>1</v>
      </c>
    </row>
    <row r="62" spans="1:11" x14ac:dyDescent="0.35">
      <c r="A62" s="1" t="s">
        <v>62</v>
      </c>
      <c r="B62">
        <v>192.36774967299559</v>
      </c>
      <c r="C62">
        <v>183.52981782981391</v>
      </c>
      <c r="D62">
        <f t="shared" si="1"/>
        <v>1</v>
      </c>
      <c r="E62">
        <v>188.99494373986559</v>
      </c>
      <c r="F62">
        <v>184.35923178449221</v>
      </c>
      <c r="G62">
        <f t="shared" si="0"/>
        <v>0</v>
      </c>
      <c r="I62">
        <f t="shared" si="2"/>
        <v>-5.4651259100516825</v>
      </c>
      <c r="J62">
        <f t="shared" si="3"/>
        <v>-8.008517888503377</v>
      </c>
      <c r="K62">
        <f t="shared" si="4"/>
        <v>0</v>
      </c>
    </row>
    <row r="63" spans="1:11" x14ac:dyDescent="0.35">
      <c r="A63" s="1" t="s">
        <v>63</v>
      </c>
      <c r="B63">
        <v>176.1953101501808</v>
      </c>
      <c r="C63">
        <v>290.47788824394758</v>
      </c>
      <c r="D63">
        <f t="shared" si="1"/>
        <v>0</v>
      </c>
      <c r="E63">
        <v>296.10774314664542</v>
      </c>
      <c r="F63">
        <v>151.6198073055163</v>
      </c>
      <c r="G63">
        <f t="shared" si="0"/>
        <v>0</v>
      </c>
      <c r="I63">
        <f t="shared" si="2"/>
        <v>-5.6298549026978435</v>
      </c>
      <c r="J63">
        <f t="shared" si="3"/>
        <v>-24.575502844664499</v>
      </c>
      <c r="K63">
        <f t="shared" si="4"/>
        <v>0</v>
      </c>
    </row>
    <row r="64" spans="1:11" x14ac:dyDescent="0.35">
      <c r="A64" s="1" t="s">
        <v>64</v>
      </c>
      <c r="B64">
        <v>9.335106382978724</v>
      </c>
      <c r="C64">
        <v>6.6041952522977789</v>
      </c>
      <c r="D64">
        <f t="shared" si="1"/>
        <v>1</v>
      </c>
      <c r="E64">
        <v>452.72687888466999</v>
      </c>
      <c r="F64">
        <v>221.66913255520851</v>
      </c>
      <c r="G64">
        <f t="shared" si="0"/>
        <v>0</v>
      </c>
      <c r="I64">
        <f t="shared" si="2"/>
        <v>-446.12268363237223</v>
      </c>
      <c r="J64">
        <f t="shared" si="3"/>
        <v>212.33402617222978</v>
      </c>
      <c r="K64">
        <f t="shared" si="4"/>
        <v>1</v>
      </c>
    </row>
    <row r="65" spans="1:11" x14ac:dyDescent="0.35">
      <c r="A65" s="1" t="s">
        <v>65</v>
      </c>
      <c r="B65">
        <v>2.463433032851809</v>
      </c>
      <c r="C65">
        <v>5.8210622034728399</v>
      </c>
      <c r="D65">
        <f t="shared" si="1"/>
        <v>0</v>
      </c>
      <c r="E65">
        <v>40.139844016564439</v>
      </c>
      <c r="F65">
        <v>4.0839709417359256</v>
      </c>
      <c r="G65">
        <f t="shared" si="0"/>
        <v>0</v>
      </c>
      <c r="I65">
        <f t="shared" si="2"/>
        <v>-34.318781813091597</v>
      </c>
      <c r="J65">
        <f t="shared" si="3"/>
        <v>1.6205379088841165</v>
      </c>
      <c r="K65">
        <f t="shared" si="4"/>
        <v>1</v>
      </c>
    </row>
    <row r="66" spans="1:11" x14ac:dyDescent="0.35">
      <c r="A66" s="1" t="s">
        <v>66</v>
      </c>
      <c r="B66">
        <v>187.1019678349864</v>
      </c>
      <c r="C66">
        <v>46.302616290069423</v>
      </c>
      <c r="D66">
        <f t="shared" si="1"/>
        <v>1</v>
      </c>
      <c r="E66">
        <v>182.3262741631624</v>
      </c>
      <c r="F66">
        <v>838.98077375122409</v>
      </c>
      <c r="G66">
        <f t="shared" ref="G66:G101" si="5">IF(E66&lt;F66,1,0)</f>
        <v>1</v>
      </c>
      <c r="I66">
        <f t="shared" si="2"/>
        <v>-136.02365787309299</v>
      </c>
      <c r="J66">
        <f t="shared" si="3"/>
        <v>651.87880591623775</v>
      </c>
      <c r="K66">
        <f t="shared" si="4"/>
        <v>1</v>
      </c>
    </row>
    <row r="67" spans="1:11" x14ac:dyDescent="0.35">
      <c r="A67" s="1" t="s">
        <v>67</v>
      </c>
      <c r="B67">
        <v>245.1345959022301</v>
      </c>
      <c r="C67">
        <v>212.39937653227389</v>
      </c>
      <c r="D67">
        <f t="shared" ref="D67:D101" si="6">IF(B67&gt;C67,1,0)</f>
        <v>1</v>
      </c>
      <c r="E67">
        <v>198.8302697492332</v>
      </c>
      <c r="F67">
        <v>232.17560800194181</v>
      </c>
      <c r="G67">
        <f t="shared" si="5"/>
        <v>1</v>
      </c>
      <c r="I67">
        <f t="shared" ref="I67:I101" si="7">C67-E67</f>
        <v>13.569106783040695</v>
      </c>
      <c r="J67">
        <f t="shared" ref="J67:J101" si="8">F67-B67</f>
        <v>-12.958987900288292</v>
      </c>
      <c r="K67">
        <f t="shared" ref="K67:K101" si="9">IF(I67&lt;J67,1,0)</f>
        <v>0</v>
      </c>
    </row>
    <row r="68" spans="1:11" x14ac:dyDescent="0.35">
      <c r="A68" s="1" t="s">
        <v>68</v>
      </c>
      <c r="B68">
        <v>131.57560148374699</v>
      </c>
      <c r="C68">
        <v>208.1691901823103</v>
      </c>
      <c r="D68">
        <f t="shared" si="6"/>
        <v>0</v>
      </c>
      <c r="E68">
        <v>212.6306894066218</v>
      </c>
      <c r="F68">
        <v>126.5813371780436</v>
      </c>
      <c r="G68">
        <f t="shared" si="5"/>
        <v>0</v>
      </c>
      <c r="I68">
        <f t="shared" si="7"/>
        <v>-4.4614992243114955</v>
      </c>
      <c r="J68">
        <f t="shared" si="8"/>
        <v>-4.9942643057033962</v>
      </c>
      <c r="K68">
        <f t="shared" si="9"/>
        <v>0</v>
      </c>
    </row>
    <row r="69" spans="1:11" x14ac:dyDescent="0.35">
      <c r="A69" s="1" t="s">
        <v>69</v>
      </c>
      <c r="B69">
        <v>261.67022523777422</v>
      </c>
      <c r="C69">
        <v>458.89367141522411</v>
      </c>
      <c r="D69">
        <f t="shared" si="6"/>
        <v>0</v>
      </c>
      <c r="E69">
        <v>472.60762171005138</v>
      </c>
      <c r="F69">
        <v>250.54526804208879</v>
      </c>
      <c r="G69">
        <f t="shared" si="5"/>
        <v>0</v>
      </c>
      <c r="I69">
        <f t="shared" si="7"/>
        <v>-13.713950294827271</v>
      </c>
      <c r="J69">
        <f t="shared" si="8"/>
        <v>-11.124957195685425</v>
      </c>
      <c r="K69">
        <f t="shared" si="9"/>
        <v>1</v>
      </c>
    </row>
    <row r="70" spans="1:11" x14ac:dyDescent="0.35">
      <c r="A70" s="1" t="s">
        <v>70</v>
      </c>
      <c r="B70">
        <v>126.25468411876329</v>
      </c>
      <c r="C70">
        <v>141.31558687255659</v>
      </c>
      <c r="D70">
        <f t="shared" si="6"/>
        <v>0</v>
      </c>
      <c r="E70">
        <v>5.7335733573357333</v>
      </c>
      <c r="F70">
        <v>2.202341590338718</v>
      </c>
      <c r="G70">
        <f t="shared" si="5"/>
        <v>0</v>
      </c>
      <c r="I70">
        <f t="shared" si="7"/>
        <v>135.58201351522086</v>
      </c>
      <c r="J70">
        <f t="shared" si="8"/>
        <v>-124.05234252842457</v>
      </c>
      <c r="K70">
        <f t="shared" si="9"/>
        <v>0</v>
      </c>
    </row>
    <row r="71" spans="1:11" x14ac:dyDescent="0.35">
      <c r="A71" s="1" t="s">
        <v>71</v>
      </c>
      <c r="B71">
        <v>44.980900268428663</v>
      </c>
      <c r="C71">
        <v>14.72809972573544</v>
      </c>
      <c r="D71">
        <f t="shared" si="6"/>
        <v>1</v>
      </c>
      <c r="E71">
        <v>49.619883442286323</v>
      </c>
      <c r="F71">
        <v>730.65559361076589</v>
      </c>
      <c r="G71">
        <f t="shared" si="5"/>
        <v>1</v>
      </c>
      <c r="I71">
        <f t="shared" si="7"/>
        <v>-34.891783716550883</v>
      </c>
      <c r="J71">
        <f t="shared" si="8"/>
        <v>685.67469334233726</v>
      </c>
      <c r="K71">
        <f t="shared" si="9"/>
        <v>1</v>
      </c>
    </row>
    <row r="72" spans="1:11" x14ac:dyDescent="0.35">
      <c r="A72" s="1" t="s">
        <v>72</v>
      </c>
      <c r="B72">
        <v>141.8834156104069</v>
      </c>
      <c r="C72">
        <v>155.79070717105509</v>
      </c>
      <c r="D72">
        <f t="shared" si="6"/>
        <v>0</v>
      </c>
      <c r="E72">
        <v>368.4993227250248</v>
      </c>
      <c r="F72">
        <v>587.4633179020052</v>
      </c>
      <c r="G72">
        <f t="shared" si="5"/>
        <v>1</v>
      </c>
      <c r="I72">
        <f t="shared" si="7"/>
        <v>-212.70861555396971</v>
      </c>
      <c r="J72">
        <f t="shared" si="8"/>
        <v>445.57990229159827</v>
      </c>
      <c r="K72">
        <f t="shared" si="9"/>
        <v>1</v>
      </c>
    </row>
    <row r="73" spans="1:11" x14ac:dyDescent="0.35">
      <c r="A73" s="1" t="s">
        <v>73</v>
      </c>
      <c r="B73">
        <v>221.97463099225121</v>
      </c>
      <c r="C73">
        <v>187.3309908715778</v>
      </c>
      <c r="D73">
        <f t="shared" si="6"/>
        <v>1</v>
      </c>
      <c r="E73">
        <v>180.1244788844667</v>
      </c>
      <c r="F73">
        <v>209.76568133075321</v>
      </c>
      <c r="G73">
        <f t="shared" si="5"/>
        <v>1</v>
      </c>
      <c r="I73">
        <f t="shared" si="7"/>
        <v>7.2065119871110994</v>
      </c>
      <c r="J73">
        <f t="shared" si="8"/>
        <v>-12.208949661497996</v>
      </c>
      <c r="K73">
        <f t="shared" si="9"/>
        <v>0</v>
      </c>
    </row>
    <row r="74" spans="1:11" x14ac:dyDescent="0.35">
      <c r="A74" s="1" t="s">
        <v>74</v>
      </c>
      <c r="B74">
        <v>256.45301069856691</v>
      </c>
      <c r="C74">
        <v>202.39733747782859</v>
      </c>
      <c r="D74">
        <f t="shared" si="6"/>
        <v>1</v>
      </c>
      <c r="E74">
        <v>196.02903457928039</v>
      </c>
      <c r="F74">
        <v>231.39534407097551</v>
      </c>
      <c r="G74">
        <f t="shared" si="5"/>
        <v>1</v>
      </c>
      <c r="I74">
        <f t="shared" si="7"/>
        <v>6.368302898548194</v>
      </c>
      <c r="J74">
        <f t="shared" si="8"/>
        <v>-25.057666627591402</v>
      </c>
      <c r="K74">
        <f t="shared" si="9"/>
        <v>0</v>
      </c>
    </row>
    <row r="75" spans="1:11" x14ac:dyDescent="0.35">
      <c r="A75" s="1" t="s">
        <v>75</v>
      </c>
      <c r="B75">
        <v>152.93893172131291</v>
      </c>
      <c r="C75">
        <v>204.69111335921539</v>
      </c>
      <c r="D75">
        <f t="shared" si="6"/>
        <v>0</v>
      </c>
      <c r="E75">
        <v>214.2671900243171</v>
      </c>
      <c r="F75">
        <v>148.16672537437279</v>
      </c>
      <c r="G75">
        <f t="shared" si="5"/>
        <v>0</v>
      </c>
      <c r="I75">
        <f t="shared" si="7"/>
        <v>-9.5760766651017093</v>
      </c>
      <c r="J75">
        <f t="shared" si="8"/>
        <v>-4.7722063469401235</v>
      </c>
      <c r="K75">
        <f t="shared" si="9"/>
        <v>1</v>
      </c>
    </row>
    <row r="76" spans="1:11" x14ac:dyDescent="0.35">
      <c r="A76" s="1" t="s">
        <v>76</v>
      </c>
      <c r="B76">
        <v>122.4802057536683</v>
      </c>
      <c r="C76">
        <v>159.09716860350281</v>
      </c>
      <c r="D76">
        <f t="shared" si="6"/>
        <v>0</v>
      </c>
      <c r="E76">
        <v>156.26742792236109</v>
      </c>
      <c r="F76">
        <v>121.0082693578515</v>
      </c>
      <c r="G76">
        <f t="shared" si="5"/>
        <v>0</v>
      </c>
      <c r="I76">
        <f t="shared" si="7"/>
        <v>2.8297406811417147</v>
      </c>
      <c r="J76">
        <f t="shared" si="8"/>
        <v>-1.4719363958167975</v>
      </c>
      <c r="K76">
        <f t="shared" si="9"/>
        <v>0</v>
      </c>
    </row>
    <row r="77" spans="1:11" x14ac:dyDescent="0.35">
      <c r="A77" s="1" t="s">
        <v>77</v>
      </c>
      <c r="B77">
        <v>3.2798264642082429</v>
      </c>
      <c r="C77">
        <v>2.0102552249101611</v>
      </c>
      <c r="D77">
        <f t="shared" si="6"/>
        <v>1</v>
      </c>
      <c r="E77">
        <v>42.203426831501453</v>
      </c>
      <c r="F77">
        <v>81.238885928252884</v>
      </c>
      <c r="G77">
        <f t="shared" si="5"/>
        <v>1</v>
      </c>
      <c r="I77">
        <f t="shared" si="7"/>
        <v>-40.193171606591292</v>
      </c>
      <c r="J77">
        <f t="shared" si="8"/>
        <v>77.959059464044643</v>
      </c>
      <c r="K77">
        <f t="shared" si="9"/>
        <v>1</v>
      </c>
    </row>
    <row r="78" spans="1:11" x14ac:dyDescent="0.35">
      <c r="A78" s="1" t="s">
        <v>78</v>
      </c>
      <c r="B78">
        <v>215.13940820965001</v>
      </c>
      <c r="C78">
        <v>95.332650364237423</v>
      </c>
      <c r="D78">
        <f t="shared" si="6"/>
        <v>1</v>
      </c>
      <c r="E78">
        <v>96.745387820881959</v>
      </c>
      <c r="F78">
        <v>215.15313527840749</v>
      </c>
      <c r="G78">
        <f t="shared" si="5"/>
        <v>1</v>
      </c>
      <c r="I78">
        <f t="shared" si="7"/>
        <v>-1.4127374566445354</v>
      </c>
      <c r="J78">
        <f t="shared" si="8"/>
        <v>1.3727068757475536E-2</v>
      </c>
      <c r="K78">
        <f t="shared" si="9"/>
        <v>1</v>
      </c>
    </row>
    <row r="79" spans="1:11" x14ac:dyDescent="0.35">
      <c r="A79" s="1" t="s">
        <v>79</v>
      </c>
      <c r="B79">
        <v>30.393882444430041</v>
      </c>
      <c r="C79">
        <v>55.681482134830922</v>
      </c>
      <c r="D79">
        <f t="shared" si="6"/>
        <v>0</v>
      </c>
      <c r="E79">
        <v>250.76582932697599</v>
      </c>
      <c r="F79">
        <v>113.3951543861256</v>
      </c>
      <c r="G79">
        <f t="shared" si="5"/>
        <v>0</v>
      </c>
      <c r="I79">
        <f t="shared" si="7"/>
        <v>-195.08434719214506</v>
      </c>
      <c r="J79">
        <f t="shared" si="8"/>
        <v>83.001271941695563</v>
      </c>
      <c r="K79">
        <f t="shared" si="9"/>
        <v>1</v>
      </c>
    </row>
    <row r="80" spans="1:11" x14ac:dyDescent="0.35">
      <c r="A80" s="1" t="s">
        <v>80</v>
      </c>
      <c r="B80">
        <v>7.333333333333333</v>
      </c>
      <c r="C80">
        <v>6.0145376651872846</v>
      </c>
      <c r="D80">
        <f t="shared" si="6"/>
        <v>1</v>
      </c>
      <c r="E80">
        <v>5.0771077107710774</v>
      </c>
      <c r="F80">
        <v>2.2721933003486048</v>
      </c>
      <c r="G80">
        <f t="shared" si="5"/>
        <v>0</v>
      </c>
      <c r="I80">
        <f t="shared" si="7"/>
        <v>0.93742995441620725</v>
      </c>
      <c r="J80">
        <f t="shared" si="8"/>
        <v>-5.0611400329847278</v>
      </c>
      <c r="K80">
        <f t="shared" si="9"/>
        <v>0</v>
      </c>
    </row>
    <row r="81" spans="1:11" x14ac:dyDescent="0.35">
      <c r="A81" s="1" t="s">
        <v>81</v>
      </c>
      <c r="B81">
        <v>299.03767075470779</v>
      </c>
      <c r="C81">
        <v>278.76478312868039</v>
      </c>
      <c r="D81">
        <f t="shared" si="6"/>
        <v>1</v>
      </c>
      <c r="E81">
        <v>281.61975248590431</v>
      </c>
      <c r="F81">
        <v>279.56988369551118</v>
      </c>
      <c r="G81">
        <f t="shared" si="5"/>
        <v>0</v>
      </c>
      <c r="I81">
        <f t="shared" si="7"/>
        <v>-2.8549693572239221</v>
      </c>
      <c r="J81">
        <f t="shared" si="8"/>
        <v>-19.46778705919661</v>
      </c>
      <c r="K81">
        <f t="shared" si="9"/>
        <v>0</v>
      </c>
    </row>
    <row r="82" spans="1:11" x14ac:dyDescent="0.35">
      <c r="A82" s="1" t="s">
        <v>82</v>
      </c>
      <c r="B82">
        <v>147.97855095596341</v>
      </c>
      <c r="C82">
        <v>155.66462342662371</v>
      </c>
      <c r="D82">
        <f t="shared" si="6"/>
        <v>0</v>
      </c>
      <c r="E82">
        <v>152.87467780904771</v>
      </c>
      <c r="F82">
        <v>142.17693667896501</v>
      </c>
      <c r="G82">
        <f t="shared" si="5"/>
        <v>0</v>
      </c>
      <c r="I82">
        <f t="shared" si="7"/>
        <v>2.7899456175759951</v>
      </c>
      <c r="J82">
        <f t="shared" si="8"/>
        <v>-5.8016142769984071</v>
      </c>
      <c r="K82">
        <f t="shared" si="9"/>
        <v>0</v>
      </c>
    </row>
    <row r="83" spans="1:11" x14ac:dyDescent="0.35">
      <c r="A83" s="1" t="s">
        <v>83</v>
      </c>
      <c r="B83">
        <v>156.57550372558529</v>
      </c>
      <c r="C83">
        <v>46.043315479505338</v>
      </c>
      <c r="D83">
        <f t="shared" si="6"/>
        <v>1</v>
      </c>
      <c r="E83">
        <v>50.40238680847078</v>
      </c>
      <c r="F83">
        <v>166.15033663420189</v>
      </c>
      <c r="G83">
        <f t="shared" si="5"/>
        <v>1</v>
      </c>
      <c r="I83">
        <f t="shared" si="7"/>
        <v>-4.3590713289654417</v>
      </c>
      <c r="J83">
        <f t="shared" si="8"/>
        <v>9.5748329086165995</v>
      </c>
      <c r="K83">
        <f t="shared" si="9"/>
        <v>1</v>
      </c>
    </row>
    <row r="84" spans="1:11" x14ac:dyDescent="0.35">
      <c r="A84" s="1" t="s">
        <v>84</v>
      </c>
      <c r="B84">
        <v>294.85046445838219</v>
      </c>
      <c r="C84">
        <v>363.11462720315137</v>
      </c>
      <c r="D84">
        <f t="shared" si="6"/>
        <v>0</v>
      </c>
      <c r="E84">
        <v>356.44136442161749</v>
      </c>
      <c r="F84">
        <v>268.79422782730222</v>
      </c>
      <c r="G84">
        <f t="shared" si="5"/>
        <v>0</v>
      </c>
      <c r="I84">
        <f t="shared" si="7"/>
        <v>6.6732627815338788</v>
      </c>
      <c r="J84">
        <f t="shared" si="8"/>
        <v>-26.056236631079969</v>
      </c>
      <c r="K84">
        <f t="shared" si="9"/>
        <v>0</v>
      </c>
    </row>
    <row r="85" spans="1:11" x14ac:dyDescent="0.35">
      <c r="A85" s="1" t="s">
        <v>85</v>
      </c>
      <c r="B85">
        <v>11.0459587955626</v>
      </c>
      <c r="C85">
        <v>7.7220926326425747</v>
      </c>
      <c r="D85">
        <f t="shared" si="6"/>
        <v>1</v>
      </c>
      <c r="E85">
        <v>276.81868371831058</v>
      </c>
      <c r="F85">
        <v>166.67189542483661</v>
      </c>
      <c r="G85">
        <f t="shared" si="5"/>
        <v>0</v>
      </c>
      <c r="I85">
        <f t="shared" si="7"/>
        <v>-269.09659108566802</v>
      </c>
      <c r="J85">
        <f t="shared" si="8"/>
        <v>155.62593662927401</v>
      </c>
      <c r="K85">
        <f t="shared" si="9"/>
        <v>1</v>
      </c>
    </row>
    <row r="86" spans="1:11" x14ac:dyDescent="0.35">
      <c r="A86" s="1" t="s">
        <v>86</v>
      </c>
      <c r="B86">
        <v>153.62613164814849</v>
      </c>
      <c r="C86">
        <v>103.5767978352069</v>
      </c>
      <c r="D86">
        <f t="shared" si="6"/>
        <v>1</v>
      </c>
      <c r="E86">
        <v>106.18211795880561</v>
      </c>
      <c r="F86">
        <v>148.245130657765</v>
      </c>
      <c r="G86">
        <f t="shared" si="5"/>
        <v>1</v>
      </c>
      <c r="I86">
        <f t="shared" si="7"/>
        <v>-2.6053201235987018</v>
      </c>
      <c r="J86">
        <f t="shared" si="8"/>
        <v>-5.3810009903834839</v>
      </c>
      <c r="K86">
        <f t="shared" si="9"/>
        <v>0</v>
      </c>
    </row>
    <row r="87" spans="1:11" x14ac:dyDescent="0.35">
      <c r="A87" s="1" t="s">
        <v>87</v>
      </c>
      <c r="B87">
        <v>169.7455562473809</v>
      </c>
      <c r="C87">
        <v>96.413787212681541</v>
      </c>
      <c r="D87">
        <f t="shared" si="6"/>
        <v>1</v>
      </c>
      <c r="E87">
        <v>96.940535042470458</v>
      </c>
      <c r="F87">
        <v>166.6069552769485</v>
      </c>
      <c r="G87">
        <f t="shared" si="5"/>
        <v>1</v>
      </c>
      <c r="I87">
        <f t="shared" si="7"/>
        <v>-0.52674782978891699</v>
      </c>
      <c r="J87">
        <f t="shared" si="8"/>
        <v>-3.1386009704324067</v>
      </c>
      <c r="K87">
        <f t="shared" si="9"/>
        <v>0</v>
      </c>
    </row>
    <row r="88" spans="1:11" x14ac:dyDescent="0.35">
      <c r="A88" s="1" t="s">
        <v>88</v>
      </c>
      <c r="B88">
        <v>128.21737838105619</v>
      </c>
      <c r="C88">
        <v>107.27706650847399</v>
      </c>
      <c r="D88">
        <f t="shared" si="6"/>
        <v>1</v>
      </c>
      <c r="E88">
        <v>669.82962983132643</v>
      </c>
      <c r="F88">
        <v>676.67947370972195</v>
      </c>
      <c r="G88">
        <f t="shared" si="5"/>
        <v>1</v>
      </c>
      <c r="I88">
        <f t="shared" si="7"/>
        <v>-562.55256332285239</v>
      </c>
      <c r="J88">
        <f t="shared" si="8"/>
        <v>548.46209532866578</v>
      </c>
      <c r="K88">
        <f t="shared" si="9"/>
        <v>1</v>
      </c>
    </row>
    <row r="89" spans="1:11" x14ac:dyDescent="0.35">
      <c r="A89" s="1" t="s">
        <v>89</v>
      </c>
      <c r="B89">
        <v>63.411264789201802</v>
      </c>
      <c r="C89">
        <v>124.3412333361249</v>
      </c>
      <c r="D89">
        <f t="shared" si="6"/>
        <v>0</v>
      </c>
      <c r="E89">
        <v>292.15116302902157</v>
      </c>
      <c r="F89">
        <v>606.83014330241201</v>
      </c>
      <c r="G89">
        <f t="shared" si="5"/>
        <v>1</v>
      </c>
      <c r="I89">
        <f t="shared" si="7"/>
        <v>-167.80992969289667</v>
      </c>
      <c r="J89">
        <f t="shared" si="8"/>
        <v>543.41887851321019</v>
      </c>
      <c r="K89">
        <f t="shared" si="9"/>
        <v>1</v>
      </c>
    </row>
    <row r="90" spans="1:11" x14ac:dyDescent="0.35">
      <c r="A90" s="1" t="s">
        <v>90</v>
      </c>
      <c r="B90">
        <v>117.0597750486865</v>
      </c>
      <c r="C90">
        <v>37.18173890364605</v>
      </c>
      <c r="D90">
        <f t="shared" si="6"/>
        <v>1</v>
      </c>
      <c r="E90">
        <v>205.74066099057779</v>
      </c>
      <c r="F90">
        <v>385.85272075108679</v>
      </c>
      <c r="G90">
        <f t="shared" si="5"/>
        <v>1</v>
      </c>
      <c r="I90">
        <f t="shared" si="7"/>
        <v>-168.55892208693174</v>
      </c>
      <c r="J90">
        <f t="shared" si="8"/>
        <v>268.79294570240029</v>
      </c>
      <c r="K90">
        <f t="shared" si="9"/>
        <v>1</v>
      </c>
    </row>
    <row r="91" spans="1:11" x14ac:dyDescent="0.35">
      <c r="A91" s="1" t="s">
        <v>91</v>
      </c>
      <c r="B91">
        <v>4.2352941176470589</v>
      </c>
      <c r="C91">
        <v>1.540930971610901</v>
      </c>
      <c r="D91">
        <f t="shared" si="6"/>
        <v>1</v>
      </c>
      <c r="E91">
        <v>91.929352447355811</v>
      </c>
      <c r="F91">
        <v>156.83231395891389</v>
      </c>
      <c r="G91">
        <f t="shared" si="5"/>
        <v>1</v>
      </c>
      <c r="I91">
        <f t="shared" si="7"/>
        <v>-90.388421475744906</v>
      </c>
      <c r="J91">
        <f t="shared" si="8"/>
        <v>152.59701984126681</v>
      </c>
      <c r="K91">
        <f t="shared" si="9"/>
        <v>1</v>
      </c>
    </row>
    <row r="92" spans="1:11" x14ac:dyDescent="0.35">
      <c r="A92" s="1" t="s">
        <v>92</v>
      </c>
      <c r="B92">
        <v>32.029573842762673</v>
      </c>
      <c r="C92">
        <v>15.123684987726829</v>
      </c>
      <c r="D92">
        <f t="shared" si="6"/>
        <v>1</v>
      </c>
      <c r="E92">
        <v>68.212325647309896</v>
      </c>
      <c r="F92">
        <v>113.4570819805195</v>
      </c>
      <c r="G92">
        <f t="shared" si="5"/>
        <v>1</v>
      </c>
      <c r="I92">
        <f t="shared" si="7"/>
        <v>-53.088640659583064</v>
      </c>
      <c r="J92">
        <f t="shared" si="8"/>
        <v>81.427508137756831</v>
      </c>
      <c r="K92">
        <f t="shared" si="9"/>
        <v>1</v>
      </c>
    </row>
    <row r="93" spans="1:11" x14ac:dyDescent="0.35">
      <c r="A93" s="1" t="s">
        <v>93</v>
      </c>
      <c r="B93">
        <v>58.998863579043572</v>
      </c>
      <c r="C93">
        <v>145.42147203556931</v>
      </c>
      <c r="D93">
        <f t="shared" si="6"/>
        <v>0</v>
      </c>
      <c r="E93">
        <v>151.50200424071321</v>
      </c>
      <c r="F93">
        <v>60.146858428979549</v>
      </c>
      <c r="G93">
        <f t="shared" si="5"/>
        <v>0</v>
      </c>
      <c r="I93">
        <f t="shared" si="7"/>
        <v>-6.0805322051438964</v>
      </c>
      <c r="J93">
        <f t="shared" si="8"/>
        <v>1.1479948499359764</v>
      </c>
      <c r="K93">
        <f t="shared" si="9"/>
        <v>1</v>
      </c>
    </row>
    <row r="94" spans="1:11" x14ac:dyDescent="0.35">
      <c r="A94" s="1" t="s">
        <v>94</v>
      </c>
      <c r="B94">
        <v>188.83432694288021</v>
      </c>
      <c r="C94">
        <v>122.3152114243192</v>
      </c>
      <c r="D94">
        <f t="shared" si="6"/>
        <v>1</v>
      </c>
      <c r="E94">
        <v>121.89343293117859</v>
      </c>
      <c r="F94">
        <v>182.9404612105686</v>
      </c>
      <c r="G94">
        <f t="shared" si="5"/>
        <v>1</v>
      </c>
      <c r="I94">
        <f t="shared" si="7"/>
        <v>0.42177849314060722</v>
      </c>
      <c r="J94">
        <f t="shared" si="8"/>
        <v>-5.8938657323116104</v>
      </c>
      <c r="K94">
        <f t="shared" si="9"/>
        <v>0</v>
      </c>
    </row>
    <row r="95" spans="1:11" x14ac:dyDescent="0.35">
      <c r="A95" s="1" t="s">
        <v>95</v>
      </c>
      <c r="B95">
        <v>234.61347862531429</v>
      </c>
      <c r="C95">
        <v>69.782287312589119</v>
      </c>
      <c r="D95">
        <f t="shared" si="6"/>
        <v>1</v>
      </c>
      <c r="E95">
        <v>177.92177331098941</v>
      </c>
      <c r="F95">
        <v>810.06128483450698</v>
      </c>
      <c r="G95">
        <f t="shared" si="5"/>
        <v>1</v>
      </c>
      <c r="I95">
        <f t="shared" si="7"/>
        <v>-108.13948599840029</v>
      </c>
      <c r="J95">
        <f t="shared" si="8"/>
        <v>575.44780620919266</v>
      </c>
      <c r="K95">
        <f t="shared" si="9"/>
        <v>1</v>
      </c>
    </row>
    <row r="96" spans="1:11" x14ac:dyDescent="0.35">
      <c r="A96" s="1" t="s">
        <v>96</v>
      </c>
      <c r="B96">
        <v>146.68460570949421</v>
      </c>
      <c r="C96">
        <v>220.63439190975711</v>
      </c>
      <c r="D96">
        <f t="shared" si="6"/>
        <v>0</v>
      </c>
      <c r="E96">
        <v>225.77584345109219</v>
      </c>
      <c r="F96">
        <v>144.03535728055309</v>
      </c>
      <c r="G96">
        <f t="shared" si="5"/>
        <v>0</v>
      </c>
      <c r="I96">
        <f t="shared" si="7"/>
        <v>-5.1414515413350728</v>
      </c>
      <c r="J96">
        <f t="shared" si="8"/>
        <v>-2.6492484289411209</v>
      </c>
      <c r="K96">
        <f t="shared" si="9"/>
        <v>1</v>
      </c>
    </row>
    <row r="97" spans="1:11" x14ac:dyDescent="0.35">
      <c r="A97" s="1" t="s">
        <v>97</v>
      </c>
      <c r="B97">
        <v>50.081524169176149</v>
      </c>
      <c r="C97">
        <v>942.82963506710553</v>
      </c>
      <c r="D97">
        <f t="shared" si="6"/>
        <v>0</v>
      </c>
      <c r="E97">
        <v>76.888666789651523</v>
      </c>
      <c r="F97">
        <v>48.004606466458469</v>
      </c>
      <c r="G97">
        <f t="shared" si="5"/>
        <v>0</v>
      </c>
      <c r="I97">
        <f t="shared" si="7"/>
        <v>865.94096827745398</v>
      </c>
      <c r="J97">
        <f t="shared" si="8"/>
        <v>-2.0769177027176795</v>
      </c>
      <c r="K97">
        <f t="shared" si="9"/>
        <v>0</v>
      </c>
    </row>
    <row r="98" spans="1:11" x14ac:dyDescent="0.35">
      <c r="A98" s="1" t="s">
        <v>98</v>
      </c>
      <c r="B98">
        <v>176.34281253939079</v>
      </c>
      <c r="C98">
        <v>160.7690631700784</v>
      </c>
      <c r="D98">
        <f t="shared" si="6"/>
        <v>1</v>
      </c>
      <c r="E98">
        <v>170.92100537886429</v>
      </c>
      <c r="F98">
        <v>180.0346141562504</v>
      </c>
      <c r="G98">
        <f t="shared" si="5"/>
        <v>1</v>
      </c>
      <c r="I98">
        <f t="shared" si="7"/>
        <v>-10.151942208785897</v>
      </c>
      <c r="J98">
        <f t="shared" si="8"/>
        <v>3.6918016168596068</v>
      </c>
      <c r="K98">
        <f t="shared" si="9"/>
        <v>1</v>
      </c>
    </row>
    <row r="99" spans="1:11" x14ac:dyDescent="0.35">
      <c r="A99" s="1" t="s">
        <v>99</v>
      </c>
      <c r="B99">
        <v>632.41536672191899</v>
      </c>
      <c r="C99">
        <v>354.66044640787021</v>
      </c>
      <c r="D99">
        <f t="shared" si="6"/>
        <v>1</v>
      </c>
      <c r="E99">
        <v>411.16988624114009</v>
      </c>
      <c r="F99">
        <v>697.52909810164499</v>
      </c>
      <c r="G99">
        <f t="shared" si="5"/>
        <v>1</v>
      </c>
      <c r="I99">
        <f t="shared" si="7"/>
        <v>-56.50943983326988</v>
      </c>
      <c r="J99">
        <f t="shared" si="8"/>
        <v>65.113731379726005</v>
      </c>
      <c r="K99">
        <f t="shared" si="9"/>
        <v>1</v>
      </c>
    </row>
    <row r="100" spans="1:11" x14ac:dyDescent="0.35">
      <c r="A100" s="1" t="s">
        <v>100</v>
      </c>
      <c r="B100">
        <v>118.0722891566265</v>
      </c>
      <c r="C100">
        <v>21.26429189476077</v>
      </c>
      <c r="D100">
        <f t="shared" si="6"/>
        <v>1</v>
      </c>
      <c r="E100">
        <v>159.6801649125189</v>
      </c>
      <c r="F100">
        <v>531.55391651224568</v>
      </c>
      <c r="G100">
        <f t="shared" si="5"/>
        <v>1</v>
      </c>
      <c r="I100">
        <f t="shared" si="7"/>
        <v>-138.41587301775814</v>
      </c>
      <c r="J100">
        <f t="shared" si="8"/>
        <v>413.4816273556192</v>
      </c>
      <c r="K100">
        <f t="shared" si="9"/>
        <v>1</v>
      </c>
    </row>
    <row r="101" spans="1:11" ht="15" thickBot="1" x14ac:dyDescent="0.4">
      <c r="A101" s="1" t="s">
        <v>101</v>
      </c>
      <c r="B101">
        <v>232.08309990662929</v>
      </c>
      <c r="C101">
        <v>39.569663912453002</v>
      </c>
      <c r="D101">
        <f t="shared" si="6"/>
        <v>1</v>
      </c>
      <c r="E101">
        <v>47.015067144305966</v>
      </c>
      <c r="F101">
        <v>283.89087034111049</v>
      </c>
      <c r="G101" s="2">
        <f t="shared" si="5"/>
        <v>1</v>
      </c>
      <c r="I101">
        <f t="shared" si="7"/>
        <v>-7.4454032318529642</v>
      </c>
      <c r="J101">
        <f t="shared" si="8"/>
        <v>51.807770434481199</v>
      </c>
      <c r="K101">
        <f t="shared" si="9"/>
        <v>1</v>
      </c>
    </row>
    <row r="102" spans="1:11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2025-05-15T02:38:53Z</dcterms:created>
  <dcterms:modified xsi:type="dcterms:W3CDTF">2025-05-15T03:29:14Z</dcterms:modified>
</cp:coreProperties>
</file>