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9012\OneDrive\Programs\JJ\Data_bases\DB_tests\Cause_effect_pair\"/>
    </mc:Choice>
  </mc:AlternateContent>
  <xr:revisionPtr revIDLastSave="0" documentId="13_ncr:1_{D7549176-B16B-407B-9421-1F754B922A2D}" xr6:coauthVersionLast="47" xr6:coauthVersionMax="47" xr10:uidLastSave="{00000000-0000-0000-0000-000000000000}"/>
  <bookViews>
    <workbookView xWindow="1720" yWindow="2700" windowWidth="28800" windowHeight="15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0" i="1" l="1"/>
  <c r="L61" i="1"/>
  <c r="L62" i="1"/>
  <c r="L63" i="1"/>
  <c r="L64" i="1"/>
  <c r="L65" i="1"/>
  <c r="L66" i="1"/>
  <c r="L90" i="1"/>
  <c r="L91" i="1"/>
  <c r="L92" i="1"/>
  <c r="L93" i="1"/>
  <c r="L94" i="1"/>
  <c r="L95" i="1"/>
  <c r="L96" i="1"/>
  <c r="L97" i="1"/>
  <c r="L98" i="1"/>
  <c r="K26" i="1"/>
  <c r="K27" i="1"/>
  <c r="K28" i="1"/>
  <c r="K29" i="1"/>
  <c r="K30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K20" i="1" s="1"/>
  <c r="J21" i="1"/>
  <c r="K21" i="1" s="1"/>
  <c r="J22" i="1"/>
  <c r="K22" i="1" s="1"/>
  <c r="J23" i="1"/>
  <c r="L23" i="1" s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K52" i="1" s="1"/>
  <c r="J53" i="1"/>
  <c r="K53" i="1" s="1"/>
  <c r="J54" i="1"/>
  <c r="K54" i="1" s="1"/>
  <c r="J55" i="1"/>
  <c r="K55" i="1" s="1"/>
  <c r="J56" i="1"/>
  <c r="J57" i="1"/>
  <c r="J58" i="1"/>
  <c r="K58" i="1" s="1"/>
  <c r="J59" i="1"/>
  <c r="K59" i="1" s="1"/>
  <c r="J60" i="1"/>
  <c r="K60" i="1" s="1"/>
  <c r="J61" i="1"/>
  <c r="K61" i="1" s="1"/>
  <c r="J62" i="1"/>
  <c r="K62" i="1" s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K84" i="1" s="1"/>
  <c r="J85" i="1"/>
  <c r="K85" i="1" s="1"/>
  <c r="J86" i="1"/>
  <c r="L86" i="1" s="1"/>
  <c r="J87" i="1"/>
  <c r="K87" i="1" s="1"/>
  <c r="J88" i="1"/>
  <c r="J89" i="1"/>
  <c r="J90" i="1"/>
  <c r="J91" i="1"/>
  <c r="J92" i="1"/>
  <c r="J93" i="1"/>
  <c r="K93" i="1" s="1"/>
  <c r="J94" i="1"/>
  <c r="J95" i="1"/>
  <c r="J96" i="1"/>
  <c r="J97" i="1"/>
  <c r="J98" i="1"/>
  <c r="J99" i="1"/>
  <c r="J100" i="1"/>
  <c r="J101" i="1"/>
  <c r="J2" i="1"/>
  <c r="K2" i="1" s="1"/>
  <c r="I3" i="1"/>
  <c r="L3" i="1" s="1"/>
  <c r="I4" i="1"/>
  <c r="L4" i="1" s="1"/>
  <c r="I5" i="1"/>
  <c r="L5" i="1" s="1"/>
  <c r="I6" i="1"/>
  <c r="L6" i="1" s="1"/>
  <c r="I7" i="1"/>
  <c r="L7" i="1" s="1"/>
  <c r="I8" i="1"/>
  <c r="L8" i="1" s="1"/>
  <c r="I9" i="1"/>
  <c r="L9" i="1" s="1"/>
  <c r="I10" i="1"/>
  <c r="L10" i="1" s="1"/>
  <c r="I11" i="1"/>
  <c r="L11" i="1" s="1"/>
  <c r="I12" i="1"/>
  <c r="L12" i="1" s="1"/>
  <c r="I13" i="1"/>
  <c r="L13" i="1" s="1"/>
  <c r="I14" i="1"/>
  <c r="L14" i="1" s="1"/>
  <c r="I15" i="1"/>
  <c r="L15" i="1" s="1"/>
  <c r="I16" i="1"/>
  <c r="L16" i="1" s="1"/>
  <c r="I17" i="1"/>
  <c r="L17" i="1" s="1"/>
  <c r="I18" i="1"/>
  <c r="L18" i="1" s="1"/>
  <c r="I19" i="1"/>
  <c r="L19" i="1" s="1"/>
  <c r="I20" i="1"/>
  <c r="I21" i="1"/>
  <c r="I22" i="1"/>
  <c r="I23" i="1"/>
  <c r="I24" i="1"/>
  <c r="I25" i="1"/>
  <c r="I26" i="1"/>
  <c r="L26" i="1" s="1"/>
  <c r="I27" i="1"/>
  <c r="L27" i="1" s="1"/>
  <c r="I28" i="1"/>
  <c r="L28" i="1" s="1"/>
  <c r="I29" i="1"/>
  <c r="L29" i="1" s="1"/>
  <c r="I30" i="1"/>
  <c r="L30" i="1" s="1"/>
  <c r="I31" i="1"/>
  <c r="L31" i="1" s="1"/>
  <c r="I32" i="1"/>
  <c r="L32" i="1" s="1"/>
  <c r="I33" i="1"/>
  <c r="L33" i="1" s="1"/>
  <c r="I34" i="1"/>
  <c r="L34" i="1" s="1"/>
  <c r="I35" i="1"/>
  <c r="L35" i="1" s="1"/>
  <c r="I36" i="1"/>
  <c r="L36" i="1" s="1"/>
  <c r="I37" i="1"/>
  <c r="L37" i="1" s="1"/>
  <c r="I38" i="1"/>
  <c r="L38" i="1" s="1"/>
  <c r="I39" i="1"/>
  <c r="L39" i="1" s="1"/>
  <c r="I40" i="1"/>
  <c r="L40" i="1" s="1"/>
  <c r="I41" i="1"/>
  <c r="L41" i="1" s="1"/>
  <c r="I42" i="1"/>
  <c r="L42" i="1" s="1"/>
  <c r="I43" i="1"/>
  <c r="L43" i="1" s="1"/>
  <c r="I44" i="1"/>
  <c r="L44" i="1" s="1"/>
  <c r="I45" i="1"/>
  <c r="L45" i="1" s="1"/>
  <c r="I46" i="1"/>
  <c r="L46" i="1" s="1"/>
  <c r="I47" i="1"/>
  <c r="L47" i="1" s="1"/>
  <c r="I48" i="1"/>
  <c r="L48" i="1" s="1"/>
  <c r="I49" i="1"/>
  <c r="L49" i="1" s="1"/>
  <c r="I50" i="1"/>
  <c r="L50" i="1" s="1"/>
  <c r="I51" i="1"/>
  <c r="L51" i="1" s="1"/>
  <c r="I52" i="1"/>
  <c r="I53" i="1"/>
  <c r="I54" i="1"/>
  <c r="I55" i="1"/>
  <c r="I56" i="1"/>
  <c r="I57" i="1"/>
  <c r="I58" i="1"/>
  <c r="L58" i="1" s="1"/>
  <c r="I59" i="1"/>
  <c r="L59" i="1" s="1"/>
  <c r="I60" i="1"/>
  <c r="I61" i="1"/>
  <c r="I62" i="1"/>
  <c r="I63" i="1"/>
  <c r="I64" i="1"/>
  <c r="I65" i="1"/>
  <c r="I66" i="1"/>
  <c r="I67" i="1"/>
  <c r="L67" i="1" s="1"/>
  <c r="I68" i="1"/>
  <c r="L68" i="1" s="1"/>
  <c r="I69" i="1"/>
  <c r="L69" i="1" s="1"/>
  <c r="I70" i="1"/>
  <c r="L70" i="1" s="1"/>
  <c r="I71" i="1"/>
  <c r="L71" i="1" s="1"/>
  <c r="I72" i="1"/>
  <c r="L72" i="1" s="1"/>
  <c r="I73" i="1"/>
  <c r="L73" i="1" s="1"/>
  <c r="I74" i="1"/>
  <c r="L74" i="1" s="1"/>
  <c r="I75" i="1"/>
  <c r="L75" i="1" s="1"/>
  <c r="I76" i="1"/>
  <c r="L76" i="1" s="1"/>
  <c r="I77" i="1"/>
  <c r="L77" i="1" s="1"/>
  <c r="I78" i="1"/>
  <c r="L78" i="1" s="1"/>
  <c r="I79" i="1"/>
  <c r="L79" i="1" s="1"/>
  <c r="I80" i="1"/>
  <c r="L80" i="1" s="1"/>
  <c r="I81" i="1"/>
  <c r="L81" i="1" s="1"/>
  <c r="I82" i="1"/>
  <c r="L82" i="1" s="1"/>
  <c r="I83" i="1"/>
  <c r="L83" i="1" s="1"/>
  <c r="I84" i="1"/>
  <c r="I85" i="1"/>
  <c r="I86" i="1"/>
  <c r="I87" i="1"/>
  <c r="I88" i="1"/>
  <c r="I89" i="1"/>
  <c r="I90" i="1"/>
  <c r="K90" i="1" s="1"/>
  <c r="I91" i="1"/>
  <c r="K91" i="1" s="1"/>
  <c r="I92" i="1"/>
  <c r="K92" i="1" s="1"/>
  <c r="I93" i="1"/>
  <c r="I94" i="1"/>
  <c r="K94" i="1" s="1"/>
  <c r="I95" i="1"/>
  <c r="I96" i="1"/>
  <c r="I97" i="1"/>
  <c r="I98" i="1"/>
  <c r="I99" i="1"/>
  <c r="L99" i="1" s="1"/>
  <c r="I100" i="1"/>
  <c r="L100" i="1" s="1"/>
  <c r="I101" i="1"/>
  <c r="L101" i="1" s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K49" i="1" l="1"/>
  <c r="K47" i="1"/>
  <c r="K77" i="1"/>
  <c r="K43" i="1"/>
  <c r="K8" i="1"/>
  <c r="K66" i="1"/>
  <c r="K34" i="1"/>
  <c r="L2" i="1"/>
  <c r="K50" i="1"/>
  <c r="K13" i="1"/>
  <c r="K9" i="1"/>
  <c r="K38" i="1"/>
  <c r="K3" i="1"/>
  <c r="K97" i="1"/>
  <c r="K65" i="1"/>
  <c r="K33" i="1"/>
  <c r="K14" i="1"/>
  <c r="K10" i="1"/>
  <c r="K6" i="1"/>
  <c r="K4" i="1"/>
  <c r="K96" i="1"/>
  <c r="K64" i="1"/>
  <c r="K32" i="1"/>
  <c r="K39" i="1"/>
  <c r="K95" i="1"/>
  <c r="K63" i="1"/>
  <c r="K31" i="1"/>
  <c r="K83" i="1"/>
  <c r="K45" i="1"/>
  <c r="K11" i="1"/>
  <c r="K69" i="1"/>
  <c r="K67" i="1"/>
  <c r="K51" i="1"/>
  <c r="K16" i="1"/>
  <c r="K12" i="1"/>
  <c r="K74" i="1"/>
  <c r="K71" i="1"/>
  <c r="K100" i="1"/>
  <c r="K18" i="1"/>
  <c r="K48" i="1"/>
  <c r="K78" i="1"/>
  <c r="K44" i="1"/>
  <c r="K40" i="1"/>
  <c r="K68" i="1"/>
  <c r="K82" i="1"/>
  <c r="K80" i="1"/>
  <c r="K73" i="1"/>
  <c r="K98" i="1"/>
  <c r="K81" i="1"/>
  <c r="K79" i="1"/>
  <c r="K46" i="1"/>
  <c r="K76" i="1"/>
  <c r="K42" i="1"/>
  <c r="K70" i="1"/>
  <c r="K37" i="1"/>
  <c r="K99" i="1"/>
  <c r="K101" i="1"/>
  <c r="K36" i="1"/>
  <c r="L85" i="1"/>
  <c r="L53" i="1"/>
  <c r="L21" i="1"/>
  <c r="L89" i="1"/>
  <c r="K57" i="1"/>
  <c r="L25" i="1"/>
  <c r="K19" i="1"/>
  <c r="K17" i="1"/>
  <c r="K15" i="1"/>
  <c r="K75" i="1"/>
  <c r="K41" i="1"/>
  <c r="K72" i="1"/>
  <c r="K7" i="1"/>
  <c r="K5" i="1"/>
  <c r="K35" i="1"/>
  <c r="L84" i="1"/>
  <c r="L52" i="1"/>
  <c r="L20" i="1"/>
  <c r="K88" i="1"/>
  <c r="L56" i="1"/>
  <c r="L24" i="1"/>
  <c r="L54" i="1"/>
  <c r="K86" i="1"/>
  <c r="L88" i="1"/>
  <c r="G1" i="1"/>
  <c r="K89" i="1"/>
  <c r="K23" i="1"/>
  <c r="K25" i="1"/>
  <c r="L87" i="1"/>
  <c r="L57" i="1"/>
  <c r="L55" i="1"/>
  <c r="K24" i="1"/>
  <c r="K56" i="1"/>
  <c r="L22" i="1"/>
  <c r="D1" i="1"/>
  <c r="L1" i="1"/>
  <c r="K1" i="1" l="1"/>
</calcChain>
</file>

<file path=xl/sharedStrings.xml><?xml version="1.0" encoding="utf-8"?>
<sst xmlns="http://schemas.openxmlformats.org/spreadsheetml/2006/main" count="106" uniqueCount="104">
  <si>
    <t>Path(['drop_duplicates_mean']A)</t>
  </si>
  <si>
    <t>Path(['drop_duplicates_mean']B)</t>
  </si>
  <si>
    <t>train6562</t>
  </si>
  <si>
    <t>train3406</t>
  </si>
  <si>
    <t>train7652</t>
  </si>
  <si>
    <t>train4265</t>
  </si>
  <si>
    <t>train7224</t>
  </si>
  <si>
    <t>train7640</t>
  </si>
  <si>
    <t>train6784</t>
  </si>
  <si>
    <t>train5895</t>
  </si>
  <si>
    <t>train1181</t>
  </si>
  <si>
    <t>train5273</t>
  </si>
  <si>
    <t>train3385</t>
  </si>
  <si>
    <t>train6751</t>
  </si>
  <si>
    <t>train1414</t>
  </si>
  <si>
    <t>train2398</t>
  </si>
  <si>
    <t>train2022</t>
  </si>
  <si>
    <t>train4351</t>
  </si>
  <si>
    <t>train5311</t>
  </si>
  <si>
    <t>train3336</t>
  </si>
  <si>
    <t>train4434</t>
  </si>
  <si>
    <t>train6027</t>
  </si>
  <si>
    <t>train194</t>
  </si>
  <si>
    <t>train6273</t>
  </si>
  <si>
    <t>train836</t>
  </si>
  <si>
    <t>train1119</t>
  </si>
  <si>
    <t>train7583</t>
  </si>
  <si>
    <t>train3087</t>
  </si>
  <si>
    <t>train4719</t>
  </si>
  <si>
    <t>train3653</t>
  </si>
  <si>
    <t>train2635</t>
  </si>
  <si>
    <t>train4574</t>
  </si>
  <si>
    <t>train2452</t>
  </si>
  <si>
    <t>train1605</t>
  </si>
  <si>
    <t>train2218</t>
  </si>
  <si>
    <t>train654</t>
  </si>
  <si>
    <t>train7581</t>
  </si>
  <si>
    <t>train503</t>
  </si>
  <si>
    <t>train2166</t>
  </si>
  <si>
    <t>train2185</t>
  </si>
  <si>
    <t>train1002</t>
  </si>
  <si>
    <t>train107</t>
  </si>
  <si>
    <t>train2948</t>
  </si>
  <si>
    <t>train7661</t>
  </si>
  <si>
    <t>train254</t>
  </si>
  <si>
    <t>train255</t>
  </si>
  <si>
    <t>train3762</t>
  </si>
  <si>
    <t>train3969</t>
  </si>
  <si>
    <t>train2894</t>
  </si>
  <si>
    <t>train5974</t>
  </si>
  <si>
    <t>train7080</t>
  </si>
  <si>
    <t>train6581</t>
  </si>
  <si>
    <t>train2922</t>
  </si>
  <si>
    <t>train914</t>
  </si>
  <si>
    <t>train926</t>
  </si>
  <si>
    <t>train2884</t>
  </si>
  <si>
    <t>train4501</t>
  </si>
  <si>
    <t>train3817</t>
  </si>
  <si>
    <t>train1151</t>
  </si>
  <si>
    <t>train4304</t>
  </si>
  <si>
    <t>train4740</t>
  </si>
  <si>
    <t>train7397</t>
  </si>
  <si>
    <t>train2280</t>
  </si>
  <si>
    <t>train3486</t>
  </si>
  <si>
    <t>train1565</t>
  </si>
  <si>
    <t>train4064</t>
  </si>
  <si>
    <t>train3880</t>
  </si>
  <si>
    <t>train6387</t>
  </si>
  <si>
    <t>train6320</t>
  </si>
  <si>
    <t>train1008</t>
  </si>
  <si>
    <t>train6359</t>
  </si>
  <si>
    <t>train4106</t>
  </si>
  <si>
    <t>train7046</t>
  </si>
  <si>
    <t>train3929</t>
  </si>
  <si>
    <t>train4253</t>
  </si>
  <si>
    <t>train3909</t>
  </si>
  <si>
    <t>train5400</t>
  </si>
  <si>
    <t>train4007</t>
  </si>
  <si>
    <t>train2636</t>
  </si>
  <si>
    <t>train826</t>
  </si>
  <si>
    <t>train5344</t>
  </si>
  <si>
    <t>train2616</t>
  </si>
  <si>
    <t>train1510</t>
  </si>
  <si>
    <t>train3415</t>
  </si>
  <si>
    <t>train7153</t>
  </si>
  <si>
    <t>train942</t>
  </si>
  <si>
    <t>train4703</t>
  </si>
  <si>
    <t>train114</t>
  </si>
  <si>
    <t>train6090</t>
  </si>
  <si>
    <t>train4766</t>
  </si>
  <si>
    <t>train4313</t>
  </si>
  <si>
    <t>train4388</t>
  </si>
  <si>
    <t>train6291</t>
  </si>
  <si>
    <t>train1077</t>
  </si>
  <si>
    <t>train5110</t>
  </si>
  <si>
    <t>train1333</t>
  </si>
  <si>
    <t>train2620</t>
  </si>
  <si>
    <t>train7236</t>
  </si>
  <si>
    <t>train2102</t>
  </si>
  <si>
    <t>train3292</t>
  </si>
  <si>
    <t>train5190</t>
  </si>
  <si>
    <t>train4150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</si>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</sst>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tabSelected="1" workbookViewId="0">
      <selection activeCell="H11" sqref="H11"/>
    </sheetView>
  </sheetViews>
  <sheetFormatPr defaultRowHeight="14.5" x14ac:dyDescent="0.35"/>
  <cols>
    <col min="1" max="1" width="8.81640625" bestFit="1" customWidth="1"/>
    <col min="2" max="2" width="29" bestFit="1" customWidth="1"/>
    <col min="3" max="3" width="28.90625" bestFit="1" customWidth="1"/>
    <col min="4" max="4" width="28.90625" customWidth="1"/>
    <col min="5" max="5" width="28.90625" bestFit="1" customWidth="1"/>
    <col min="6" max="6" width="29" bestFit="1" customWidth="1"/>
  </cols>
  <sheetData>
    <row r="1" spans="1:12" x14ac:dyDescent="0.35">
      <c r="B1" s="1" t="s">
        <v>0</v>
      </c>
      <c r="C1" s="1" t="s">
        <v>1</v>
      </c>
      <c r="D1">
        <f>SUM(D2:D101)</f>
        <v>67</v>
      </c>
      <c r="E1" s="1" t="s">
        <v>1</v>
      </c>
      <c r="F1" s="1" t="s">
        <v>0</v>
      </c>
      <c r="G1">
        <f>SUM(G2:G101)</f>
        <v>44</v>
      </c>
      <c r="I1" t="s">
        <v>102</v>
      </c>
      <c r="J1" t="s">
        <v>103</v>
      </c>
      <c r="K1">
        <f>SUM(K2:K101)</f>
        <v>9</v>
      </c>
      <c r="L1">
        <f>SUM(L2:L101)</f>
        <v>23</v>
      </c>
    </row>
    <row r="2" spans="1:12" x14ac:dyDescent="0.35">
      <c r="A2" s="1" t="s">
        <v>2</v>
      </c>
      <c r="B2">
        <v>117.95283615841331</v>
      </c>
      <c r="C2">
        <v>204.35613544796669</v>
      </c>
      <c r="D2">
        <f t="shared" ref="D2:D65" si="0">IF(B2&lt;C2,1,0)</f>
        <v>1</v>
      </c>
      <c r="E2">
        <v>906.20935568049219</v>
      </c>
      <c r="F2">
        <v>395.89156784674799</v>
      </c>
      <c r="G2">
        <f t="shared" ref="G2:G65" si="1">IF(E2&lt;F2,1,0)</f>
        <v>0</v>
      </c>
      <c r="I2">
        <f>C2+E2</f>
        <v>1110.5654911284589</v>
      </c>
      <c r="J2">
        <f>F2+B2</f>
        <v>513.84440400516132</v>
      </c>
      <c r="K2">
        <f>IF(J2-I2&gt;I2,1,0)</f>
        <v>0</v>
      </c>
      <c r="L2">
        <f>IF(I2-J2&gt;J2,1,0)</f>
        <v>1</v>
      </c>
    </row>
    <row r="3" spans="1:12" x14ac:dyDescent="0.35">
      <c r="A3" s="1" t="s">
        <v>3</v>
      </c>
      <c r="B3">
        <v>1130.802650971048</v>
      </c>
      <c r="C3">
        <v>1553.6101601558489</v>
      </c>
      <c r="D3">
        <f t="shared" si="0"/>
        <v>1</v>
      </c>
      <c r="E3">
        <v>1479.2970222853421</v>
      </c>
      <c r="F3">
        <v>1123.714670811838</v>
      </c>
      <c r="G3">
        <f t="shared" si="1"/>
        <v>0</v>
      </c>
      <c r="I3">
        <f>C3+E3</f>
        <v>3032.9071824411913</v>
      </c>
      <c r="J3">
        <f>F3+B3</f>
        <v>2254.517321782886</v>
      </c>
      <c r="K3">
        <f t="shared" ref="K3:K66" si="2">IF(J3-I3&gt;I3,1,0)</f>
        <v>0</v>
      </c>
      <c r="L3">
        <f t="shared" ref="L3:L66" si="3">IF(I3-J3&gt;J3,1,0)</f>
        <v>0</v>
      </c>
    </row>
    <row r="4" spans="1:12" x14ac:dyDescent="0.35">
      <c r="A4" s="1" t="s">
        <v>4</v>
      </c>
      <c r="B4">
        <v>70.479219597101903</v>
      </c>
      <c r="C4">
        <v>102.51085975403581</v>
      </c>
      <c r="D4">
        <f t="shared" si="0"/>
        <v>1</v>
      </c>
      <c r="E4">
        <v>2160.0030689693408</v>
      </c>
      <c r="F4">
        <v>3110.2697380148602</v>
      </c>
      <c r="G4">
        <f t="shared" si="1"/>
        <v>1</v>
      </c>
      <c r="I4">
        <f>C4+E4</f>
        <v>2262.5139287233765</v>
      </c>
      <c r="J4">
        <f>F4+B4</f>
        <v>3180.7489576119619</v>
      </c>
      <c r="K4">
        <f t="shared" si="2"/>
        <v>0</v>
      </c>
      <c r="L4">
        <f t="shared" si="3"/>
        <v>0</v>
      </c>
    </row>
    <row r="5" spans="1:12" x14ac:dyDescent="0.35">
      <c r="A5" s="1" t="s">
        <v>5</v>
      </c>
      <c r="B5">
        <v>1941.6994061989269</v>
      </c>
      <c r="C5">
        <v>2624.4346466694019</v>
      </c>
      <c r="D5">
        <f t="shared" si="0"/>
        <v>1</v>
      </c>
      <c r="E5">
        <v>2469.908367842389</v>
      </c>
      <c r="F5">
        <v>1944.3165263881299</v>
      </c>
      <c r="G5">
        <f t="shared" si="1"/>
        <v>0</v>
      </c>
      <c r="I5">
        <f>C5+E5</f>
        <v>5094.3430145117909</v>
      </c>
      <c r="J5">
        <f>F5+B5</f>
        <v>3886.0159325870568</v>
      </c>
      <c r="K5">
        <f t="shared" si="2"/>
        <v>0</v>
      </c>
      <c r="L5">
        <f t="shared" si="3"/>
        <v>0</v>
      </c>
    </row>
    <row r="6" spans="1:12" x14ac:dyDescent="0.35">
      <c r="A6" s="1" t="s">
        <v>6</v>
      </c>
      <c r="B6">
        <v>83.465019966856957</v>
      </c>
      <c r="C6">
        <v>116.213224538541</v>
      </c>
      <c r="D6">
        <f t="shared" si="0"/>
        <v>1</v>
      </c>
      <c r="E6">
        <v>1736.486104205009</v>
      </c>
      <c r="F6">
        <v>2640.8843144588791</v>
      </c>
      <c r="G6">
        <f t="shared" si="1"/>
        <v>1</v>
      </c>
      <c r="I6">
        <f>C6+E6</f>
        <v>1852.69932874355</v>
      </c>
      <c r="J6">
        <f>F6+B6</f>
        <v>2724.3493344257358</v>
      </c>
      <c r="K6">
        <f t="shared" si="2"/>
        <v>0</v>
      </c>
      <c r="L6">
        <f t="shared" si="3"/>
        <v>0</v>
      </c>
    </row>
    <row r="7" spans="1:12" x14ac:dyDescent="0.35">
      <c r="A7" s="1" t="s">
        <v>7</v>
      </c>
      <c r="B7">
        <v>3320.3865803727458</v>
      </c>
      <c r="C7">
        <v>1832.602833571593</v>
      </c>
      <c r="D7">
        <f t="shared" si="0"/>
        <v>0</v>
      </c>
      <c r="E7">
        <v>1675.087148109887</v>
      </c>
      <c r="F7">
        <v>3472.2133972762849</v>
      </c>
      <c r="G7">
        <f t="shared" si="1"/>
        <v>1</v>
      </c>
      <c r="I7">
        <f>C7+E7</f>
        <v>3507.6899816814803</v>
      </c>
      <c r="J7">
        <f>F7+B7</f>
        <v>6792.5999776490307</v>
      </c>
      <c r="K7">
        <f t="shared" si="2"/>
        <v>0</v>
      </c>
      <c r="L7">
        <f t="shared" si="3"/>
        <v>0</v>
      </c>
    </row>
    <row r="8" spans="1:12" x14ac:dyDescent="0.35">
      <c r="A8" s="1" t="s">
        <v>8</v>
      </c>
      <c r="B8">
        <v>1151.899812469177</v>
      </c>
      <c r="C8">
        <v>1285.7056853052441</v>
      </c>
      <c r="D8">
        <f t="shared" si="0"/>
        <v>1</v>
      </c>
      <c r="E8">
        <v>1280.6184394719589</v>
      </c>
      <c r="F8">
        <v>1194.917881805075</v>
      </c>
      <c r="G8">
        <f t="shared" si="1"/>
        <v>0</v>
      </c>
      <c r="I8">
        <f>C8+E8</f>
        <v>2566.324124777203</v>
      </c>
      <c r="J8">
        <f>F8+B8</f>
        <v>2346.8176942742521</v>
      </c>
      <c r="K8">
        <f t="shared" si="2"/>
        <v>0</v>
      </c>
      <c r="L8">
        <f t="shared" si="3"/>
        <v>0</v>
      </c>
    </row>
    <row r="9" spans="1:12" x14ac:dyDescent="0.35">
      <c r="A9" s="1" t="s">
        <v>9</v>
      </c>
      <c r="B9">
        <v>1760.764574044061</v>
      </c>
      <c r="C9">
        <v>795.22823891384076</v>
      </c>
      <c r="D9">
        <f t="shared" si="0"/>
        <v>0</v>
      </c>
      <c r="E9">
        <v>33.124316764133717</v>
      </c>
      <c r="F9">
        <v>154.5335101269269</v>
      </c>
      <c r="G9">
        <f t="shared" si="1"/>
        <v>1</v>
      </c>
      <c r="I9">
        <f>C9+E9</f>
        <v>828.35255567797446</v>
      </c>
      <c r="J9">
        <f>F9+B9</f>
        <v>1915.2980841709877</v>
      </c>
      <c r="K9">
        <f t="shared" si="2"/>
        <v>1</v>
      </c>
      <c r="L9">
        <f t="shared" si="3"/>
        <v>0</v>
      </c>
    </row>
    <row r="10" spans="1:12" x14ac:dyDescent="0.35">
      <c r="A10" s="1" t="s">
        <v>10</v>
      </c>
      <c r="B10">
        <v>3796.0813376832798</v>
      </c>
      <c r="C10">
        <v>2136.1916293930399</v>
      </c>
      <c r="D10">
        <f t="shared" si="0"/>
        <v>0</v>
      </c>
      <c r="E10">
        <v>2115.490638693439</v>
      </c>
      <c r="F10">
        <v>4071.800685904172</v>
      </c>
      <c r="G10">
        <f t="shared" si="1"/>
        <v>1</v>
      </c>
      <c r="I10">
        <f>C10+E10</f>
        <v>4251.6822680864789</v>
      </c>
      <c r="J10">
        <f>F10+B10</f>
        <v>7867.8820235874518</v>
      </c>
      <c r="K10">
        <f t="shared" si="2"/>
        <v>0</v>
      </c>
      <c r="L10">
        <f t="shared" si="3"/>
        <v>0</v>
      </c>
    </row>
    <row r="11" spans="1:12" x14ac:dyDescent="0.35">
      <c r="A11" s="1" t="s">
        <v>11</v>
      </c>
      <c r="B11">
        <v>332.85154410956488</v>
      </c>
      <c r="C11">
        <v>362.4986966155264</v>
      </c>
      <c r="D11">
        <f t="shared" si="0"/>
        <v>1</v>
      </c>
      <c r="E11">
        <v>1201.372397719603</v>
      </c>
      <c r="F11">
        <v>1343.487423323699</v>
      </c>
      <c r="G11">
        <f t="shared" si="1"/>
        <v>1</v>
      </c>
      <c r="I11">
        <f>C11+E11</f>
        <v>1563.8710943351293</v>
      </c>
      <c r="J11">
        <f>F11+B11</f>
        <v>1676.3389674332639</v>
      </c>
      <c r="K11">
        <f t="shared" si="2"/>
        <v>0</v>
      </c>
      <c r="L11">
        <f t="shared" si="3"/>
        <v>0</v>
      </c>
    </row>
    <row r="12" spans="1:12" x14ac:dyDescent="0.35">
      <c r="A12" s="1" t="s">
        <v>12</v>
      </c>
      <c r="B12">
        <v>71.7931869525369</v>
      </c>
      <c r="C12">
        <v>131.76696836455631</v>
      </c>
      <c r="D12">
        <f t="shared" si="0"/>
        <v>1</v>
      </c>
      <c r="E12">
        <v>1728.790390306465</v>
      </c>
      <c r="F12">
        <v>4263.1204805729631</v>
      </c>
      <c r="G12">
        <f t="shared" si="1"/>
        <v>1</v>
      </c>
      <c r="I12">
        <f>C12+E12</f>
        <v>1860.5573586710213</v>
      </c>
      <c r="J12">
        <f>F12+B12</f>
        <v>4334.9136675255004</v>
      </c>
      <c r="K12">
        <f t="shared" si="2"/>
        <v>1</v>
      </c>
      <c r="L12">
        <f t="shared" si="3"/>
        <v>0</v>
      </c>
    </row>
    <row r="13" spans="1:12" x14ac:dyDescent="0.35">
      <c r="A13" s="1" t="s">
        <v>13</v>
      </c>
      <c r="B13">
        <v>2949.6223744732079</v>
      </c>
      <c r="C13">
        <v>5546.5470390155706</v>
      </c>
      <c r="D13">
        <f t="shared" si="0"/>
        <v>1</v>
      </c>
      <c r="E13">
        <v>5316.3696070862006</v>
      </c>
      <c r="F13">
        <v>3002.345589492867</v>
      </c>
      <c r="G13">
        <f t="shared" si="1"/>
        <v>0</v>
      </c>
      <c r="I13">
        <f>C13+E13</f>
        <v>10862.91664610177</v>
      </c>
      <c r="J13">
        <f>F13+B13</f>
        <v>5951.9679639660753</v>
      </c>
      <c r="K13">
        <f t="shared" si="2"/>
        <v>0</v>
      </c>
      <c r="L13">
        <f t="shared" si="3"/>
        <v>0</v>
      </c>
    </row>
    <row r="14" spans="1:12" x14ac:dyDescent="0.35">
      <c r="A14" s="1" t="s">
        <v>14</v>
      </c>
      <c r="B14">
        <v>31.950482521134688</v>
      </c>
      <c r="C14">
        <v>176.62431005765799</v>
      </c>
      <c r="D14">
        <f t="shared" si="0"/>
        <v>1</v>
      </c>
      <c r="E14">
        <v>2956.2052367306242</v>
      </c>
      <c r="F14">
        <v>1357.478929099477</v>
      </c>
      <c r="G14">
        <f t="shared" si="1"/>
        <v>0</v>
      </c>
      <c r="I14">
        <f>C14+E14</f>
        <v>3132.8295467882822</v>
      </c>
      <c r="J14">
        <f>F14+B14</f>
        <v>1389.4294116206117</v>
      </c>
      <c r="K14">
        <f t="shared" si="2"/>
        <v>0</v>
      </c>
      <c r="L14">
        <f t="shared" si="3"/>
        <v>1</v>
      </c>
    </row>
    <row r="15" spans="1:12" x14ac:dyDescent="0.35">
      <c r="A15" s="1" t="s">
        <v>15</v>
      </c>
      <c r="B15">
        <v>414.20520272405469</v>
      </c>
      <c r="C15">
        <v>788.49136880998753</v>
      </c>
      <c r="D15">
        <f t="shared" si="0"/>
        <v>1</v>
      </c>
      <c r="E15">
        <v>1748.913974337971</v>
      </c>
      <c r="F15">
        <v>869.62495100651756</v>
      </c>
      <c r="G15">
        <f t="shared" si="1"/>
        <v>0</v>
      </c>
      <c r="I15">
        <f>C15+E15</f>
        <v>2537.4053431479588</v>
      </c>
      <c r="J15">
        <f>F15+B15</f>
        <v>1283.8301537305722</v>
      </c>
      <c r="K15">
        <f t="shared" si="2"/>
        <v>0</v>
      </c>
      <c r="L15">
        <f t="shared" si="3"/>
        <v>0</v>
      </c>
    </row>
    <row r="16" spans="1:12" x14ac:dyDescent="0.35">
      <c r="A16" s="1" t="s">
        <v>16</v>
      </c>
      <c r="B16">
        <v>1420.1084840006761</v>
      </c>
      <c r="C16">
        <v>1389.9988440418581</v>
      </c>
      <c r="D16">
        <f t="shared" si="0"/>
        <v>0</v>
      </c>
      <c r="E16">
        <v>1404.1736061571951</v>
      </c>
      <c r="F16">
        <v>1371.629620497207</v>
      </c>
      <c r="G16">
        <f t="shared" si="1"/>
        <v>0</v>
      </c>
      <c r="I16">
        <f>C16+E16</f>
        <v>2794.1724501990529</v>
      </c>
      <c r="J16">
        <f>F16+B16</f>
        <v>2791.7381044978829</v>
      </c>
      <c r="K16">
        <f t="shared" si="2"/>
        <v>0</v>
      </c>
      <c r="L16">
        <f t="shared" si="3"/>
        <v>0</v>
      </c>
    </row>
    <row r="17" spans="1:12" x14ac:dyDescent="0.35">
      <c r="A17" s="1" t="s">
        <v>17</v>
      </c>
      <c r="B17">
        <v>163.8452280182531</v>
      </c>
      <c r="C17">
        <v>381.18581730397801</v>
      </c>
      <c r="D17">
        <f t="shared" si="0"/>
        <v>1</v>
      </c>
      <c r="E17">
        <v>1151.308404707034</v>
      </c>
      <c r="F17">
        <v>469.28584490952221</v>
      </c>
      <c r="G17">
        <f t="shared" si="1"/>
        <v>0</v>
      </c>
      <c r="I17">
        <f>C17+E17</f>
        <v>1532.494222011012</v>
      </c>
      <c r="J17">
        <f>F17+B17</f>
        <v>633.13107292777534</v>
      </c>
      <c r="K17">
        <f t="shared" si="2"/>
        <v>0</v>
      </c>
      <c r="L17">
        <f t="shared" si="3"/>
        <v>1</v>
      </c>
    </row>
    <row r="18" spans="1:12" x14ac:dyDescent="0.35">
      <c r="A18" s="1" t="s">
        <v>18</v>
      </c>
      <c r="B18">
        <v>1774.684441443334</v>
      </c>
      <c r="C18">
        <v>1823.263913474676</v>
      </c>
      <c r="D18">
        <f t="shared" si="0"/>
        <v>1</v>
      </c>
      <c r="E18">
        <v>1746.093382027655</v>
      </c>
      <c r="F18">
        <v>1788.283349141773</v>
      </c>
      <c r="G18">
        <f t="shared" si="1"/>
        <v>1</v>
      </c>
      <c r="I18">
        <f>C18+E18</f>
        <v>3569.357295502331</v>
      </c>
      <c r="J18">
        <f>F18+B18</f>
        <v>3562.9677905851067</v>
      </c>
      <c r="K18">
        <f t="shared" si="2"/>
        <v>0</v>
      </c>
      <c r="L18">
        <f t="shared" si="3"/>
        <v>0</v>
      </c>
    </row>
    <row r="19" spans="1:12" x14ac:dyDescent="0.35">
      <c r="A19" s="1" t="s">
        <v>19</v>
      </c>
      <c r="B19">
        <v>922.99910836598212</v>
      </c>
      <c r="C19">
        <v>1913.1720702705611</v>
      </c>
      <c r="D19">
        <f t="shared" si="0"/>
        <v>1</v>
      </c>
      <c r="E19">
        <v>2076.9362973010038</v>
      </c>
      <c r="F19">
        <v>1014.885267234473</v>
      </c>
      <c r="G19">
        <f t="shared" si="1"/>
        <v>0</v>
      </c>
      <c r="I19">
        <f>C19+E19</f>
        <v>3990.1083675715649</v>
      </c>
      <c r="J19">
        <f>F19+B19</f>
        <v>1937.8843756004551</v>
      </c>
      <c r="K19">
        <f t="shared" si="2"/>
        <v>0</v>
      </c>
      <c r="L19">
        <f t="shared" si="3"/>
        <v>1</v>
      </c>
    </row>
    <row r="20" spans="1:12" x14ac:dyDescent="0.35">
      <c r="A20" s="1" t="s">
        <v>20</v>
      </c>
      <c r="B20">
        <v>3074.0692250890411</v>
      </c>
      <c r="C20">
        <v>2203.393497640358</v>
      </c>
      <c r="D20">
        <f t="shared" si="0"/>
        <v>0</v>
      </c>
      <c r="E20">
        <v>1988.5016026166479</v>
      </c>
      <c r="F20">
        <v>3064.827588888355</v>
      </c>
      <c r="G20">
        <f t="shared" si="1"/>
        <v>1</v>
      </c>
      <c r="I20">
        <f>C20+E20</f>
        <v>4191.8951002570057</v>
      </c>
      <c r="J20">
        <f>F20+B20</f>
        <v>6138.8968139773961</v>
      </c>
      <c r="K20">
        <f t="shared" si="2"/>
        <v>0</v>
      </c>
      <c r="L20">
        <f t="shared" si="3"/>
        <v>0</v>
      </c>
    </row>
    <row r="21" spans="1:12" x14ac:dyDescent="0.35">
      <c r="A21" s="1" t="s">
        <v>21</v>
      </c>
      <c r="B21">
        <v>1518.6528273311289</v>
      </c>
      <c r="C21">
        <v>1649.259908283349</v>
      </c>
      <c r="D21">
        <f t="shared" si="0"/>
        <v>1</v>
      </c>
      <c r="E21">
        <v>1582.7804867409529</v>
      </c>
      <c r="F21">
        <v>1583.7130358477909</v>
      </c>
      <c r="G21">
        <f t="shared" si="1"/>
        <v>1</v>
      </c>
      <c r="I21">
        <f>C21+E21</f>
        <v>3232.0403950243017</v>
      </c>
      <c r="J21">
        <f>F21+B21</f>
        <v>3102.3658631789199</v>
      </c>
      <c r="K21">
        <f t="shared" si="2"/>
        <v>0</v>
      </c>
      <c r="L21">
        <f t="shared" si="3"/>
        <v>0</v>
      </c>
    </row>
    <row r="22" spans="1:12" x14ac:dyDescent="0.35">
      <c r="A22" s="1" t="s">
        <v>22</v>
      </c>
      <c r="B22">
        <v>1668.3260981547451</v>
      </c>
      <c r="C22">
        <v>1263.2157578949691</v>
      </c>
      <c r="D22">
        <f t="shared" si="0"/>
        <v>0</v>
      </c>
      <c r="E22">
        <v>1285.3753644750191</v>
      </c>
      <c r="F22">
        <v>1735.533556233541</v>
      </c>
      <c r="G22">
        <f t="shared" si="1"/>
        <v>1</v>
      </c>
      <c r="I22">
        <f>C22+E22</f>
        <v>2548.5911223699882</v>
      </c>
      <c r="J22">
        <f>F22+B22</f>
        <v>3403.8596543882859</v>
      </c>
      <c r="K22">
        <f t="shared" si="2"/>
        <v>0</v>
      </c>
      <c r="L22">
        <f t="shared" si="3"/>
        <v>0</v>
      </c>
    </row>
    <row r="23" spans="1:12" x14ac:dyDescent="0.35">
      <c r="A23" s="1" t="s">
        <v>23</v>
      </c>
      <c r="B23">
        <v>59.868043630273277</v>
      </c>
      <c r="C23">
        <v>79.005761491933043</v>
      </c>
      <c r="D23">
        <f t="shared" si="0"/>
        <v>1</v>
      </c>
      <c r="E23">
        <v>4139.0444929510777</v>
      </c>
      <c r="F23">
        <v>2616.233912779076</v>
      </c>
      <c r="G23">
        <f t="shared" si="1"/>
        <v>0</v>
      </c>
      <c r="I23">
        <f>C23+E23</f>
        <v>4218.050254443011</v>
      </c>
      <c r="J23">
        <f>F23+B23</f>
        <v>2676.1019564093494</v>
      </c>
      <c r="K23">
        <f t="shared" si="2"/>
        <v>0</v>
      </c>
      <c r="L23">
        <f t="shared" si="3"/>
        <v>0</v>
      </c>
    </row>
    <row r="24" spans="1:12" x14ac:dyDescent="0.35">
      <c r="A24" s="1" t="s">
        <v>24</v>
      </c>
      <c r="B24">
        <v>1513.034778960307</v>
      </c>
      <c r="C24">
        <v>1327.8098266722141</v>
      </c>
      <c r="D24">
        <f t="shared" si="0"/>
        <v>0</v>
      </c>
      <c r="E24">
        <v>1314.419597701354</v>
      </c>
      <c r="F24">
        <v>1518.472782688968</v>
      </c>
      <c r="G24">
        <f t="shared" si="1"/>
        <v>1</v>
      </c>
      <c r="I24">
        <f>C24+E24</f>
        <v>2642.2294243735678</v>
      </c>
      <c r="J24">
        <f>F24+B24</f>
        <v>3031.507561649275</v>
      </c>
      <c r="K24">
        <f t="shared" si="2"/>
        <v>0</v>
      </c>
      <c r="L24">
        <f t="shared" si="3"/>
        <v>0</v>
      </c>
    </row>
    <row r="25" spans="1:12" x14ac:dyDescent="0.35">
      <c r="A25" s="1" t="s">
        <v>25</v>
      </c>
      <c r="B25">
        <v>1297.615679626952</v>
      </c>
      <c r="C25">
        <v>1478.1451440327039</v>
      </c>
      <c r="D25">
        <f t="shared" si="0"/>
        <v>1</v>
      </c>
      <c r="E25">
        <v>1402.4363863483959</v>
      </c>
      <c r="F25">
        <v>1241.182496299303</v>
      </c>
      <c r="G25">
        <f t="shared" si="1"/>
        <v>0</v>
      </c>
      <c r="I25">
        <f>C25+E25</f>
        <v>2880.5815303810996</v>
      </c>
      <c r="J25">
        <f>F25+B25</f>
        <v>2538.7981759262548</v>
      </c>
      <c r="K25">
        <f t="shared" si="2"/>
        <v>0</v>
      </c>
      <c r="L25">
        <f t="shared" si="3"/>
        <v>0</v>
      </c>
    </row>
    <row r="26" spans="1:12" x14ac:dyDescent="0.35">
      <c r="A26" s="1" t="s">
        <v>26</v>
      </c>
      <c r="B26">
        <v>372.96073908981191</v>
      </c>
      <c r="C26">
        <v>765.43814255428867</v>
      </c>
      <c r="D26">
        <f t="shared" si="0"/>
        <v>1</v>
      </c>
      <c r="E26">
        <v>3489.9128571462438</v>
      </c>
      <c r="F26">
        <v>877.08679806301723</v>
      </c>
      <c r="G26">
        <f t="shared" si="1"/>
        <v>0</v>
      </c>
      <c r="I26">
        <f>C26+E26</f>
        <v>4255.3509997005322</v>
      </c>
      <c r="J26">
        <f>F26+B26</f>
        <v>1250.0475371528291</v>
      </c>
      <c r="K26">
        <f t="shared" si="2"/>
        <v>0</v>
      </c>
      <c r="L26">
        <f t="shared" si="3"/>
        <v>1</v>
      </c>
    </row>
    <row r="27" spans="1:12" x14ac:dyDescent="0.35">
      <c r="A27" s="1" t="s">
        <v>27</v>
      </c>
      <c r="B27">
        <v>918.40295209023861</v>
      </c>
      <c r="C27">
        <v>1537.8569887290801</v>
      </c>
      <c r="D27">
        <f t="shared" si="0"/>
        <v>1</v>
      </c>
      <c r="E27">
        <v>1627.038122135812</v>
      </c>
      <c r="F27">
        <v>988.54144213008749</v>
      </c>
      <c r="G27">
        <f t="shared" si="1"/>
        <v>0</v>
      </c>
      <c r="I27">
        <f>C27+E27</f>
        <v>3164.8951108648921</v>
      </c>
      <c r="J27">
        <f>F27+B27</f>
        <v>1906.9443942203261</v>
      </c>
      <c r="K27">
        <f t="shared" si="2"/>
        <v>0</v>
      </c>
      <c r="L27">
        <f t="shared" si="3"/>
        <v>0</v>
      </c>
    </row>
    <row r="28" spans="1:12" x14ac:dyDescent="0.35">
      <c r="A28" s="1" t="s">
        <v>28</v>
      </c>
      <c r="B28">
        <v>1901.0467758339239</v>
      </c>
      <c r="C28">
        <v>1955.1869464262679</v>
      </c>
      <c r="D28">
        <f t="shared" si="0"/>
        <v>1</v>
      </c>
      <c r="E28">
        <v>1894.139910042682</v>
      </c>
      <c r="F28">
        <v>1961.194872749352</v>
      </c>
      <c r="G28">
        <f t="shared" si="1"/>
        <v>1</v>
      </c>
      <c r="I28">
        <f>C28+E28</f>
        <v>3849.3268564689497</v>
      </c>
      <c r="J28">
        <f>F28+B28</f>
        <v>3862.2416485832759</v>
      </c>
      <c r="K28">
        <f t="shared" si="2"/>
        <v>0</v>
      </c>
      <c r="L28">
        <f t="shared" si="3"/>
        <v>0</v>
      </c>
    </row>
    <row r="29" spans="1:12" x14ac:dyDescent="0.35">
      <c r="A29" s="1" t="s">
        <v>29</v>
      </c>
      <c r="B29">
        <v>2915.2013027143262</v>
      </c>
      <c r="C29">
        <v>4235.4650177734084</v>
      </c>
      <c r="D29">
        <f t="shared" si="0"/>
        <v>1</v>
      </c>
      <c r="E29">
        <v>3958.2287304660658</v>
      </c>
      <c r="F29">
        <v>2906.4128289052501</v>
      </c>
      <c r="G29">
        <f t="shared" si="1"/>
        <v>0</v>
      </c>
      <c r="I29">
        <f>C29+E29</f>
        <v>8193.6937482394751</v>
      </c>
      <c r="J29">
        <f>F29+B29</f>
        <v>5821.6141316195763</v>
      </c>
      <c r="K29">
        <f t="shared" si="2"/>
        <v>0</v>
      </c>
      <c r="L29">
        <f t="shared" si="3"/>
        <v>0</v>
      </c>
    </row>
    <row r="30" spans="1:12" x14ac:dyDescent="0.35">
      <c r="A30" s="1" t="s">
        <v>30</v>
      </c>
      <c r="B30">
        <v>284.22558473383867</v>
      </c>
      <c r="C30">
        <v>165.62084833995181</v>
      </c>
      <c r="D30">
        <f t="shared" si="0"/>
        <v>0</v>
      </c>
      <c r="E30">
        <v>590.0715588120438</v>
      </c>
      <c r="F30">
        <v>1431.376763880372</v>
      </c>
      <c r="G30">
        <f t="shared" si="1"/>
        <v>1</v>
      </c>
      <c r="I30">
        <f>C30+E30</f>
        <v>755.69240715199567</v>
      </c>
      <c r="J30">
        <f>F30+B30</f>
        <v>1715.6023486142108</v>
      </c>
      <c r="K30">
        <f t="shared" si="2"/>
        <v>1</v>
      </c>
      <c r="L30">
        <f t="shared" si="3"/>
        <v>0</v>
      </c>
    </row>
    <row r="31" spans="1:12" x14ac:dyDescent="0.35">
      <c r="A31" s="1" t="s">
        <v>31</v>
      </c>
      <c r="B31">
        <v>1153.2139717884841</v>
      </c>
      <c r="C31">
        <v>1371.8162710788911</v>
      </c>
      <c r="D31">
        <f t="shared" si="0"/>
        <v>1</v>
      </c>
      <c r="E31">
        <v>1363.57833685633</v>
      </c>
      <c r="F31">
        <v>1196.973215270194</v>
      </c>
      <c r="G31">
        <f t="shared" si="1"/>
        <v>0</v>
      </c>
      <c r="I31">
        <f>C31+E31</f>
        <v>2735.3946079352208</v>
      </c>
      <c r="J31">
        <f>F31+B31</f>
        <v>2350.1871870586783</v>
      </c>
      <c r="K31">
        <f t="shared" si="2"/>
        <v>0</v>
      </c>
      <c r="L31">
        <f t="shared" si="3"/>
        <v>0</v>
      </c>
    </row>
    <row r="32" spans="1:12" x14ac:dyDescent="0.35">
      <c r="A32" s="1" t="s">
        <v>32</v>
      </c>
      <c r="B32">
        <v>217.52395141741019</v>
      </c>
      <c r="C32">
        <v>515.43199561289828</v>
      </c>
      <c r="D32">
        <f t="shared" si="0"/>
        <v>1</v>
      </c>
      <c r="E32">
        <v>2866.0792352550338</v>
      </c>
      <c r="F32">
        <v>924.02967073508398</v>
      </c>
      <c r="G32">
        <f t="shared" si="1"/>
        <v>0</v>
      </c>
      <c r="I32">
        <f>C32+E32</f>
        <v>3381.5112308679322</v>
      </c>
      <c r="J32">
        <f>F32+B32</f>
        <v>1141.5536221524942</v>
      </c>
      <c r="K32">
        <f t="shared" si="2"/>
        <v>0</v>
      </c>
      <c r="L32">
        <f t="shared" si="3"/>
        <v>1</v>
      </c>
    </row>
    <row r="33" spans="1:12" x14ac:dyDescent="0.35">
      <c r="A33" s="1" t="s">
        <v>33</v>
      </c>
      <c r="B33">
        <v>2053.09336603268</v>
      </c>
      <c r="C33">
        <v>1957.4223509848809</v>
      </c>
      <c r="D33">
        <f t="shared" si="0"/>
        <v>0</v>
      </c>
      <c r="E33">
        <v>2643.664051813746</v>
      </c>
      <c r="F33">
        <v>2826.4532610012702</v>
      </c>
      <c r="G33">
        <f t="shared" si="1"/>
        <v>1</v>
      </c>
      <c r="I33">
        <f>C33+E33</f>
        <v>4601.0864027986272</v>
      </c>
      <c r="J33">
        <f>F33+B33</f>
        <v>4879.5466270339502</v>
      </c>
      <c r="K33">
        <f t="shared" si="2"/>
        <v>0</v>
      </c>
      <c r="L33">
        <f t="shared" si="3"/>
        <v>0</v>
      </c>
    </row>
    <row r="34" spans="1:12" x14ac:dyDescent="0.35">
      <c r="A34" s="1" t="s">
        <v>34</v>
      </c>
      <c r="B34">
        <v>31.147927401629271</v>
      </c>
      <c r="C34">
        <v>209.75965763024959</v>
      </c>
      <c r="D34">
        <f t="shared" si="0"/>
        <v>1</v>
      </c>
      <c r="E34">
        <v>5442.6573906381718</v>
      </c>
      <c r="F34">
        <v>221.5648306530824</v>
      </c>
      <c r="G34">
        <f t="shared" si="1"/>
        <v>0</v>
      </c>
      <c r="I34">
        <f>C34+E34</f>
        <v>5652.4170482684212</v>
      </c>
      <c r="J34">
        <f>F34+B34</f>
        <v>252.71275805471166</v>
      </c>
      <c r="K34">
        <f t="shared" si="2"/>
        <v>0</v>
      </c>
      <c r="L34">
        <f t="shared" si="3"/>
        <v>1</v>
      </c>
    </row>
    <row r="35" spans="1:12" x14ac:dyDescent="0.35">
      <c r="A35" s="1" t="s">
        <v>35</v>
      </c>
      <c r="B35">
        <v>317.77435592508351</v>
      </c>
      <c r="C35">
        <v>465.80060978752289</v>
      </c>
      <c r="D35">
        <f t="shared" si="0"/>
        <v>1</v>
      </c>
      <c r="E35">
        <v>1793.1166338839389</v>
      </c>
      <c r="F35">
        <v>875.69407256270733</v>
      </c>
      <c r="G35">
        <f t="shared" si="1"/>
        <v>0</v>
      </c>
      <c r="I35">
        <f>C35+E35</f>
        <v>2258.9172436714616</v>
      </c>
      <c r="J35">
        <f>F35+B35</f>
        <v>1193.4684284877908</v>
      </c>
      <c r="K35">
        <f t="shared" si="2"/>
        <v>0</v>
      </c>
      <c r="L35">
        <f t="shared" si="3"/>
        <v>0</v>
      </c>
    </row>
    <row r="36" spans="1:12" x14ac:dyDescent="0.35">
      <c r="A36" s="1" t="s">
        <v>36</v>
      </c>
      <c r="B36">
        <v>256.14879830837481</v>
      </c>
      <c r="C36">
        <v>483.99770683250921</v>
      </c>
      <c r="D36">
        <f t="shared" si="0"/>
        <v>1</v>
      </c>
      <c r="E36">
        <v>1185.159976623889</v>
      </c>
      <c r="F36">
        <v>711.97335935969591</v>
      </c>
      <c r="G36">
        <f t="shared" si="1"/>
        <v>0</v>
      </c>
      <c r="I36">
        <f>C36+E36</f>
        <v>1669.1576834563982</v>
      </c>
      <c r="J36">
        <f>F36+B36</f>
        <v>968.12215766807071</v>
      </c>
      <c r="K36">
        <f t="shared" si="2"/>
        <v>0</v>
      </c>
      <c r="L36">
        <f t="shared" si="3"/>
        <v>0</v>
      </c>
    </row>
    <row r="37" spans="1:12" x14ac:dyDescent="0.35">
      <c r="A37" s="1" t="s">
        <v>37</v>
      </c>
      <c r="B37">
        <v>1377.723521237338</v>
      </c>
      <c r="C37">
        <v>1467.754162339191</v>
      </c>
      <c r="D37">
        <f t="shared" si="0"/>
        <v>1</v>
      </c>
      <c r="E37">
        <v>1434.7008820505821</v>
      </c>
      <c r="F37">
        <v>1421.9911480872361</v>
      </c>
      <c r="G37">
        <f t="shared" si="1"/>
        <v>0</v>
      </c>
      <c r="I37">
        <f>C37+E37</f>
        <v>2902.4550443897733</v>
      </c>
      <c r="J37">
        <f>F37+B37</f>
        <v>2799.7146693245741</v>
      </c>
      <c r="K37">
        <f t="shared" si="2"/>
        <v>0</v>
      </c>
      <c r="L37">
        <f t="shared" si="3"/>
        <v>0</v>
      </c>
    </row>
    <row r="38" spans="1:12" x14ac:dyDescent="0.35">
      <c r="A38" s="1" t="s">
        <v>38</v>
      </c>
      <c r="B38">
        <v>2952.0344789072451</v>
      </c>
      <c r="C38">
        <v>2985.3002585969271</v>
      </c>
      <c r="D38">
        <f t="shared" si="0"/>
        <v>1</v>
      </c>
      <c r="E38">
        <v>2951.8983823492599</v>
      </c>
      <c r="F38">
        <v>3513.9033943491231</v>
      </c>
      <c r="G38">
        <f t="shared" si="1"/>
        <v>1</v>
      </c>
      <c r="I38">
        <f>C38+E38</f>
        <v>5937.198640946187</v>
      </c>
      <c r="J38">
        <f>F38+B38</f>
        <v>6465.9378732563682</v>
      </c>
      <c r="K38">
        <f t="shared" si="2"/>
        <v>0</v>
      </c>
      <c r="L38">
        <f t="shared" si="3"/>
        <v>0</v>
      </c>
    </row>
    <row r="39" spans="1:12" x14ac:dyDescent="0.35">
      <c r="A39" s="1" t="s">
        <v>39</v>
      </c>
      <c r="B39">
        <v>301.70493545861541</v>
      </c>
      <c r="C39">
        <v>1078.0470508008109</v>
      </c>
      <c r="D39">
        <f t="shared" si="0"/>
        <v>1</v>
      </c>
      <c r="E39">
        <v>2362.275592957204</v>
      </c>
      <c r="F39">
        <v>927.63603871223984</v>
      </c>
      <c r="G39">
        <f t="shared" si="1"/>
        <v>0</v>
      </c>
      <c r="I39">
        <f>C39+E39</f>
        <v>3440.3226437580151</v>
      </c>
      <c r="J39">
        <f>F39+B39</f>
        <v>1229.3409741708551</v>
      </c>
      <c r="K39">
        <f t="shared" si="2"/>
        <v>0</v>
      </c>
      <c r="L39">
        <f t="shared" si="3"/>
        <v>1</v>
      </c>
    </row>
    <row r="40" spans="1:12" x14ac:dyDescent="0.35">
      <c r="A40" s="1" t="s">
        <v>40</v>
      </c>
      <c r="B40">
        <v>1811.836194173826</v>
      </c>
      <c r="C40">
        <v>2020.022112509067</v>
      </c>
      <c r="D40">
        <f t="shared" si="0"/>
        <v>1</v>
      </c>
      <c r="E40">
        <v>1965.5867462179481</v>
      </c>
      <c r="F40">
        <v>1901.677552137787</v>
      </c>
      <c r="G40">
        <f t="shared" si="1"/>
        <v>0</v>
      </c>
      <c r="I40">
        <f>C40+E40</f>
        <v>3985.6088587270151</v>
      </c>
      <c r="J40">
        <f>F40+B40</f>
        <v>3713.513746311613</v>
      </c>
      <c r="K40">
        <f t="shared" si="2"/>
        <v>0</v>
      </c>
      <c r="L40">
        <f t="shared" si="3"/>
        <v>0</v>
      </c>
    </row>
    <row r="41" spans="1:12" x14ac:dyDescent="0.35">
      <c r="A41" s="1" t="s">
        <v>41</v>
      </c>
      <c r="B41">
        <v>127.9148209916635</v>
      </c>
      <c r="C41">
        <v>415.32610485272812</v>
      </c>
      <c r="D41">
        <f t="shared" si="0"/>
        <v>1</v>
      </c>
      <c r="E41">
        <v>1245.820702870923</v>
      </c>
      <c r="F41">
        <v>425.0271284318078</v>
      </c>
      <c r="G41">
        <f t="shared" si="1"/>
        <v>0</v>
      </c>
      <c r="I41">
        <f>C41+E41</f>
        <v>1661.1468077236511</v>
      </c>
      <c r="J41">
        <f>F41+B41</f>
        <v>552.94194942347133</v>
      </c>
      <c r="K41">
        <f t="shared" si="2"/>
        <v>0</v>
      </c>
      <c r="L41">
        <f t="shared" si="3"/>
        <v>1</v>
      </c>
    </row>
    <row r="42" spans="1:12" x14ac:dyDescent="0.35">
      <c r="A42" s="1" t="s">
        <v>42</v>
      </c>
      <c r="B42">
        <v>1384.7907019052279</v>
      </c>
      <c r="C42">
        <v>1147.9135347088361</v>
      </c>
      <c r="D42">
        <f t="shared" si="0"/>
        <v>0</v>
      </c>
      <c r="E42">
        <v>1114.637881999503</v>
      </c>
      <c r="F42">
        <v>1389.707911646497</v>
      </c>
      <c r="G42">
        <f t="shared" si="1"/>
        <v>1</v>
      </c>
      <c r="I42">
        <f>C42+E42</f>
        <v>2262.5514167083393</v>
      </c>
      <c r="J42">
        <f>F42+B42</f>
        <v>2774.4986135517247</v>
      </c>
      <c r="K42">
        <f t="shared" si="2"/>
        <v>0</v>
      </c>
      <c r="L42">
        <f t="shared" si="3"/>
        <v>0</v>
      </c>
    </row>
    <row r="43" spans="1:12" x14ac:dyDescent="0.35">
      <c r="A43" s="1" t="s">
        <v>43</v>
      </c>
      <c r="B43">
        <v>50.881492164959262</v>
      </c>
      <c r="C43">
        <v>101.26003566116719</v>
      </c>
      <c r="D43">
        <f t="shared" si="0"/>
        <v>1</v>
      </c>
      <c r="E43">
        <v>1825.579128096309</v>
      </c>
      <c r="F43">
        <v>1836.555970650722</v>
      </c>
      <c r="G43">
        <f t="shared" si="1"/>
        <v>1</v>
      </c>
      <c r="I43">
        <f>C43+E43</f>
        <v>1926.8391637574762</v>
      </c>
      <c r="J43">
        <f>F43+B43</f>
        <v>1887.4374628156813</v>
      </c>
      <c r="K43">
        <f t="shared" si="2"/>
        <v>0</v>
      </c>
      <c r="L43">
        <f t="shared" si="3"/>
        <v>0</v>
      </c>
    </row>
    <row r="44" spans="1:12" x14ac:dyDescent="0.35">
      <c r="A44" s="1" t="s">
        <v>44</v>
      </c>
      <c r="B44">
        <v>2152.1581082820212</v>
      </c>
      <c r="C44">
        <v>1214.552622507417</v>
      </c>
      <c r="D44">
        <f t="shared" si="0"/>
        <v>0</v>
      </c>
      <c r="E44">
        <v>1173.3250376261381</v>
      </c>
      <c r="F44">
        <v>2153.1403059233921</v>
      </c>
      <c r="G44">
        <f t="shared" si="1"/>
        <v>1</v>
      </c>
      <c r="I44">
        <f>C44+E44</f>
        <v>2387.8776601335549</v>
      </c>
      <c r="J44">
        <f>F44+B44</f>
        <v>4305.2984142054138</v>
      </c>
      <c r="K44">
        <f t="shared" si="2"/>
        <v>0</v>
      </c>
      <c r="L44">
        <f t="shared" si="3"/>
        <v>0</v>
      </c>
    </row>
    <row r="45" spans="1:12" x14ac:dyDescent="0.35">
      <c r="A45" s="1" t="s">
        <v>45</v>
      </c>
      <c r="B45">
        <v>39.918071609938693</v>
      </c>
      <c r="C45">
        <v>135.02658001047729</v>
      </c>
      <c r="D45">
        <f t="shared" si="0"/>
        <v>1</v>
      </c>
      <c r="E45">
        <v>1157.821987624226</v>
      </c>
      <c r="F45">
        <v>982.61195934276168</v>
      </c>
      <c r="G45">
        <f t="shared" si="1"/>
        <v>0</v>
      </c>
      <c r="I45">
        <f>C45+E45</f>
        <v>1292.8485676347034</v>
      </c>
      <c r="J45">
        <f>F45+B45</f>
        <v>1022.5300309527004</v>
      </c>
      <c r="K45">
        <f t="shared" si="2"/>
        <v>0</v>
      </c>
      <c r="L45">
        <f t="shared" si="3"/>
        <v>0</v>
      </c>
    </row>
    <row r="46" spans="1:12" x14ac:dyDescent="0.35">
      <c r="A46" s="1" t="s">
        <v>46</v>
      </c>
      <c r="B46">
        <v>2938.956931674496</v>
      </c>
      <c r="C46">
        <v>1765.61714903602</v>
      </c>
      <c r="D46">
        <f t="shared" si="0"/>
        <v>0</v>
      </c>
      <c r="E46">
        <v>1816.123281746791</v>
      </c>
      <c r="F46">
        <v>3224.133535488957</v>
      </c>
      <c r="G46">
        <f t="shared" si="1"/>
        <v>1</v>
      </c>
      <c r="I46">
        <f>C46+E46</f>
        <v>3581.740430782811</v>
      </c>
      <c r="J46">
        <f>F46+B46</f>
        <v>6163.0904671634526</v>
      </c>
      <c r="K46">
        <f t="shared" si="2"/>
        <v>0</v>
      </c>
      <c r="L46">
        <f t="shared" si="3"/>
        <v>0</v>
      </c>
    </row>
    <row r="47" spans="1:12" x14ac:dyDescent="0.35">
      <c r="A47" s="1" t="s">
        <v>47</v>
      </c>
      <c r="B47">
        <v>803.08919987918739</v>
      </c>
      <c r="C47">
        <v>2494.7882988130991</v>
      </c>
      <c r="D47">
        <f t="shared" si="0"/>
        <v>1</v>
      </c>
      <c r="E47">
        <v>2782.9032622026789</v>
      </c>
      <c r="F47">
        <v>844.94622718781216</v>
      </c>
      <c r="G47">
        <f t="shared" si="1"/>
        <v>0</v>
      </c>
      <c r="I47">
        <f>C47+E47</f>
        <v>5277.6915610157776</v>
      </c>
      <c r="J47">
        <f>F47+B47</f>
        <v>1648.0354270669995</v>
      </c>
      <c r="K47">
        <f t="shared" si="2"/>
        <v>0</v>
      </c>
      <c r="L47">
        <f t="shared" si="3"/>
        <v>1</v>
      </c>
    </row>
    <row r="48" spans="1:12" x14ac:dyDescent="0.35">
      <c r="A48" s="1" t="s">
        <v>48</v>
      </c>
      <c r="B48">
        <v>111.67356435215891</v>
      </c>
      <c r="C48">
        <v>350.94774901526159</v>
      </c>
      <c r="D48">
        <f t="shared" si="0"/>
        <v>1</v>
      </c>
      <c r="E48">
        <v>2217.5425589634842</v>
      </c>
      <c r="F48">
        <v>1268.9401370014141</v>
      </c>
      <c r="G48">
        <f t="shared" si="1"/>
        <v>0</v>
      </c>
      <c r="I48">
        <f>C48+E48</f>
        <v>2568.4903079787459</v>
      </c>
      <c r="J48">
        <f>F48+B48</f>
        <v>1380.6137013535731</v>
      </c>
      <c r="K48">
        <f t="shared" si="2"/>
        <v>0</v>
      </c>
      <c r="L48">
        <f t="shared" si="3"/>
        <v>0</v>
      </c>
    </row>
    <row r="49" spans="1:12" x14ac:dyDescent="0.35">
      <c r="A49" s="1" t="s">
        <v>49</v>
      </c>
      <c r="B49">
        <v>506.93917113465682</v>
      </c>
      <c r="C49">
        <v>463.44755755793892</v>
      </c>
      <c r="D49">
        <f t="shared" si="0"/>
        <v>0</v>
      </c>
      <c r="E49">
        <v>514.50039885598835</v>
      </c>
      <c r="F49">
        <v>490.61213954258648</v>
      </c>
      <c r="G49">
        <f t="shared" si="1"/>
        <v>0</v>
      </c>
      <c r="I49">
        <f>C49+E49</f>
        <v>977.94795641392727</v>
      </c>
      <c r="J49">
        <f>F49+B49</f>
        <v>997.55131067724324</v>
      </c>
      <c r="K49">
        <f t="shared" si="2"/>
        <v>0</v>
      </c>
      <c r="L49">
        <f t="shared" si="3"/>
        <v>0</v>
      </c>
    </row>
    <row r="50" spans="1:12" x14ac:dyDescent="0.35">
      <c r="A50" s="1" t="s">
        <v>50</v>
      </c>
      <c r="B50">
        <v>56.584025360955252</v>
      </c>
      <c r="C50">
        <v>144.64140911175099</v>
      </c>
      <c r="D50">
        <f t="shared" si="0"/>
        <v>1</v>
      </c>
      <c r="E50">
        <v>1480.9013374927199</v>
      </c>
      <c r="F50">
        <v>419.91014676285022</v>
      </c>
      <c r="G50">
        <f t="shared" si="1"/>
        <v>0</v>
      </c>
      <c r="I50">
        <f>C50+E50</f>
        <v>1625.5427466044709</v>
      </c>
      <c r="J50">
        <f>F50+B50</f>
        <v>476.49417212380547</v>
      </c>
      <c r="K50">
        <f t="shared" si="2"/>
        <v>0</v>
      </c>
      <c r="L50">
        <f t="shared" si="3"/>
        <v>1</v>
      </c>
    </row>
    <row r="51" spans="1:12" x14ac:dyDescent="0.35">
      <c r="A51" s="1" t="s">
        <v>51</v>
      </c>
      <c r="B51">
        <v>824.32369104886482</v>
      </c>
      <c r="C51">
        <v>1745.646539315801</v>
      </c>
      <c r="D51">
        <f t="shared" si="0"/>
        <v>1</v>
      </c>
      <c r="E51">
        <v>1723.782919442483</v>
      </c>
      <c r="F51">
        <v>810.52904748162439</v>
      </c>
      <c r="G51">
        <f t="shared" si="1"/>
        <v>0</v>
      </c>
      <c r="I51">
        <f>C51+E51</f>
        <v>3469.429458758284</v>
      </c>
      <c r="J51">
        <f>F51+B51</f>
        <v>1634.8527385304892</v>
      </c>
      <c r="K51">
        <f t="shared" si="2"/>
        <v>0</v>
      </c>
      <c r="L51">
        <f t="shared" si="3"/>
        <v>1</v>
      </c>
    </row>
    <row r="52" spans="1:12" x14ac:dyDescent="0.35">
      <c r="A52" s="1" t="s">
        <v>52</v>
      </c>
      <c r="B52">
        <v>2149.1112404572509</v>
      </c>
      <c r="C52">
        <v>1025.596359800209</v>
      </c>
      <c r="D52">
        <f t="shared" si="0"/>
        <v>0</v>
      </c>
      <c r="E52">
        <v>1026.1227691210629</v>
      </c>
      <c r="F52">
        <v>2212.7931676804369</v>
      </c>
      <c r="G52">
        <f t="shared" si="1"/>
        <v>1</v>
      </c>
      <c r="I52">
        <f>C52+E52</f>
        <v>2051.7191289212719</v>
      </c>
      <c r="J52">
        <f>F52+B52</f>
        <v>4361.9044081376878</v>
      </c>
      <c r="K52">
        <f t="shared" si="2"/>
        <v>1</v>
      </c>
      <c r="L52">
        <f t="shared" si="3"/>
        <v>0</v>
      </c>
    </row>
    <row r="53" spans="1:12" x14ac:dyDescent="0.35">
      <c r="A53" s="1" t="s">
        <v>53</v>
      </c>
      <c r="B53">
        <v>155.28118793490401</v>
      </c>
      <c r="C53">
        <v>355.08553962119993</v>
      </c>
      <c r="D53">
        <f t="shared" si="0"/>
        <v>1</v>
      </c>
      <c r="E53">
        <v>2279.5112855209791</v>
      </c>
      <c r="F53">
        <v>767.43664056465309</v>
      </c>
      <c r="G53">
        <f t="shared" si="1"/>
        <v>0</v>
      </c>
      <c r="I53">
        <f>C53+E53</f>
        <v>2634.5968251421791</v>
      </c>
      <c r="J53">
        <f>F53+B53</f>
        <v>922.71782849955707</v>
      </c>
      <c r="K53">
        <f t="shared" si="2"/>
        <v>0</v>
      </c>
      <c r="L53">
        <f t="shared" si="3"/>
        <v>1</v>
      </c>
    </row>
    <row r="54" spans="1:12" x14ac:dyDescent="0.35">
      <c r="A54" s="1" t="s">
        <v>54</v>
      </c>
      <c r="B54">
        <v>3151.7211721959861</v>
      </c>
      <c r="C54">
        <v>3917.8400314740511</v>
      </c>
      <c r="D54">
        <f t="shared" si="0"/>
        <v>1</v>
      </c>
      <c r="E54">
        <v>3829.9694826702312</v>
      </c>
      <c r="F54">
        <v>3399.7418233850221</v>
      </c>
      <c r="G54">
        <f t="shared" si="1"/>
        <v>0</v>
      </c>
      <c r="I54">
        <f>C54+E54</f>
        <v>7747.8095141442827</v>
      </c>
      <c r="J54">
        <f>F54+B54</f>
        <v>6551.4629955810087</v>
      </c>
      <c r="K54">
        <f t="shared" si="2"/>
        <v>0</v>
      </c>
      <c r="L54">
        <f t="shared" si="3"/>
        <v>0</v>
      </c>
    </row>
    <row r="55" spans="1:12" x14ac:dyDescent="0.35">
      <c r="A55" s="1" t="s">
        <v>55</v>
      </c>
      <c r="B55">
        <v>1917.1603066926421</v>
      </c>
      <c r="C55">
        <v>1895.39288167058</v>
      </c>
      <c r="D55">
        <f t="shared" si="0"/>
        <v>0</v>
      </c>
      <c r="E55">
        <v>1829.938165227341</v>
      </c>
      <c r="F55">
        <v>1898.0800580547129</v>
      </c>
      <c r="G55">
        <f t="shared" si="1"/>
        <v>1</v>
      </c>
      <c r="I55">
        <f>C55+E55</f>
        <v>3725.3310468979207</v>
      </c>
      <c r="J55">
        <f>F55+B55</f>
        <v>3815.2403647473548</v>
      </c>
      <c r="K55">
        <f t="shared" si="2"/>
        <v>0</v>
      </c>
      <c r="L55">
        <f t="shared" si="3"/>
        <v>0</v>
      </c>
    </row>
    <row r="56" spans="1:12" x14ac:dyDescent="0.35">
      <c r="A56" s="1" t="s">
        <v>56</v>
      </c>
      <c r="B56">
        <v>65.912554269412439</v>
      </c>
      <c r="C56">
        <v>97.207889096907437</v>
      </c>
      <c r="D56">
        <f t="shared" si="0"/>
        <v>1</v>
      </c>
      <c r="E56">
        <v>669.21608963355402</v>
      </c>
      <c r="F56">
        <v>396.37678713982751</v>
      </c>
      <c r="G56">
        <f t="shared" si="1"/>
        <v>0</v>
      </c>
      <c r="I56">
        <f>C56+E56</f>
        <v>766.4239787304615</v>
      </c>
      <c r="J56">
        <f>F56+B56</f>
        <v>462.28934140923997</v>
      </c>
      <c r="K56">
        <f t="shared" si="2"/>
        <v>0</v>
      </c>
      <c r="L56">
        <f t="shared" si="3"/>
        <v>0</v>
      </c>
    </row>
    <row r="57" spans="1:12" x14ac:dyDescent="0.35">
      <c r="A57" s="1" t="s">
        <v>57</v>
      </c>
      <c r="B57">
        <v>1031.8277664541361</v>
      </c>
      <c r="C57">
        <v>3607.0433321669939</v>
      </c>
      <c r="D57">
        <f t="shared" si="0"/>
        <v>1</v>
      </c>
      <c r="E57">
        <v>3356.7352565369142</v>
      </c>
      <c r="F57">
        <v>995.06313601603313</v>
      </c>
      <c r="G57">
        <f t="shared" si="1"/>
        <v>0</v>
      </c>
      <c r="I57">
        <f>C57+E57</f>
        <v>6963.7785887039081</v>
      </c>
      <c r="J57">
        <f>F57+B57</f>
        <v>2026.8909024701693</v>
      </c>
      <c r="K57">
        <f t="shared" si="2"/>
        <v>0</v>
      </c>
      <c r="L57">
        <f t="shared" si="3"/>
        <v>1</v>
      </c>
    </row>
    <row r="58" spans="1:12" x14ac:dyDescent="0.35">
      <c r="A58" s="1" t="s">
        <v>58</v>
      </c>
      <c r="B58">
        <v>2058.3818789788902</v>
      </c>
      <c r="C58">
        <v>2528.5903103537048</v>
      </c>
      <c r="D58">
        <f t="shared" si="0"/>
        <v>1</v>
      </c>
      <c r="E58">
        <v>2481.524965272084</v>
      </c>
      <c r="F58">
        <v>2115.2995479436531</v>
      </c>
      <c r="G58">
        <f t="shared" si="1"/>
        <v>0</v>
      </c>
      <c r="I58">
        <f>C58+E58</f>
        <v>5010.1152756257889</v>
      </c>
      <c r="J58">
        <f>F58+B58</f>
        <v>4173.6814269225433</v>
      </c>
      <c r="K58">
        <f t="shared" si="2"/>
        <v>0</v>
      </c>
      <c r="L58">
        <f t="shared" si="3"/>
        <v>0</v>
      </c>
    </row>
    <row r="59" spans="1:12" x14ac:dyDescent="0.35">
      <c r="A59" s="1" t="s">
        <v>59</v>
      </c>
      <c r="B59">
        <v>1479.5085601370261</v>
      </c>
      <c r="C59">
        <v>1236.577081037884</v>
      </c>
      <c r="D59">
        <f t="shared" si="0"/>
        <v>0</v>
      </c>
      <c r="E59">
        <v>1190.9405960814961</v>
      </c>
      <c r="F59">
        <v>1457.33249975279</v>
      </c>
      <c r="G59">
        <f t="shared" si="1"/>
        <v>1</v>
      </c>
      <c r="I59">
        <f>C59+E59</f>
        <v>2427.5176771193801</v>
      </c>
      <c r="J59">
        <f>F59+B59</f>
        <v>2936.8410598898163</v>
      </c>
      <c r="K59">
        <f t="shared" si="2"/>
        <v>0</v>
      </c>
      <c r="L59">
        <f t="shared" si="3"/>
        <v>0</v>
      </c>
    </row>
    <row r="60" spans="1:12" x14ac:dyDescent="0.35">
      <c r="A60" s="1" t="s">
        <v>60</v>
      </c>
      <c r="B60">
        <v>2546.6754839249261</v>
      </c>
      <c r="C60">
        <v>462.0147997156746</v>
      </c>
      <c r="D60">
        <f t="shared" si="0"/>
        <v>0</v>
      </c>
      <c r="E60">
        <v>222.988170944469</v>
      </c>
      <c r="F60">
        <v>897.97518811209568</v>
      </c>
      <c r="G60">
        <f t="shared" si="1"/>
        <v>1</v>
      </c>
      <c r="I60">
        <f>C60+E60</f>
        <v>685.00297066014355</v>
      </c>
      <c r="J60">
        <f>F60+B60</f>
        <v>3444.6506720370216</v>
      </c>
      <c r="K60">
        <f t="shared" si="2"/>
        <v>1</v>
      </c>
      <c r="L60">
        <f t="shared" si="3"/>
        <v>0</v>
      </c>
    </row>
    <row r="61" spans="1:12" x14ac:dyDescent="0.35">
      <c r="A61" s="1" t="s">
        <v>61</v>
      </c>
      <c r="B61">
        <v>1860.623633424814</v>
      </c>
      <c r="C61">
        <v>1753.88641999826</v>
      </c>
      <c r="D61">
        <f t="shared" si="0"/>
        <v>0</v>
      </c>
      <c r="E61">
        <v>1710.0045176078161</v>
      </c>
      <c r="F61">
        <v>1878.52920750568</v>
      </c>
      <c r="G61">
        <f t="shared" si="1"/>
        <v>1</v>
      </c>
      <c r="I61">
        <f>C61+E61</f>
        <v>3463.890937606076</v>
      </c>
      <c r="J61">
        <f>F61+B61</f>
        <v>3739.1528409304938</v>
      </c>
      <c r="K61">
        <f t="shared" si="2"/>
        <v>0</v>
      </c>
      <c r="L61">
        <f t="shared" si="3"/>
        <v>0</v>
      </c>
    </row>
    <row r="62" spans="1:12" x14ac:dyDescent="0.35">
      <c r="A62" s="1" t="s">
        <v>62</v>
      </c>
      <c r="B62">
        <v>1552.6975101356841</v>
      </c>
      <c r="C62">
        <v>1512.893969352793</v>
      </c>
      <c r="D62">
        <f t="shared" si="0"/>
        <v>0</v>
      </c>
      <c r="E62">
        <v>1510.6114790792351</v>
      </c>
      <c r="F62">
        <v>1621.246900272138</v>
      </c>
      <c r="G62">
        <f t="shared" si="1"/>
        <v>1</v>
      </c>
      <c r="I62">
        <f>C62+E62</f>
        <v>3023.5054484320281</v>
      </c>
      <c r="J62">
        <f>F62+B62</f>
        <v>3173.944410407822</v>
      </c>
      <c r="K62">
        <f t="shared" si="2"/>
        <v>0</v>
      </c>
      <c r="L62">
        <f t="shared" si="3"/>
        <v>0</v>
      </c>
    </row>
    <row r="63" spans="1:12" x14ac:dyDescent="0.35">
      <c r="A63" s="1" t="s">
        <v>63</v>
      </c>
      <c r="B63">
        <v>4181.3890658245036</v>
      </c>
      <c r="C63">
        <v>2113.714547385247</v>
      </c>
      <c r="D63">
        <f t="shared" si="0"/>
        <v>0</v>
      </c>
      <c r="E63">
        <v>1830.506122676929</v>
      </c>
      <c r="F63">
        <v>4042.5338348176638</v>
      </c>
      <c r="G63">
        <f t="shared" si="1"/>
        <v>1</v>
      </c>
      <c r="I63">
        <f>C63+E63</f>
        <v>3944.2206700621759</v>
      </c>
      <c r="J63">
        <f>F63+B63</f>
        <v>8223.9229006421665</v>
      </c>
      <c r="K63">
        <f t="shared" si="2"/>
        <v>1</v>
      </c>
      <c r="L63">
        <f t="shared" si="3"/>
        <v>0</v>
      </c>
    </row>
    <row r="64" spans="1:12" x14ac:dyDescent="0.35">
      <c r="A64" s="1" t="s">
        <v>64</v>
      </c>
      <c r="B64">
        <v>52.612006764748607</v>
      </c>
      <c r="C64">
        <v>79.317659281421953</v>
      </c>
      <c r="D64">
        <f t="shared" si="0"/>
        <v>1</v>
      </c>
      <c r="E64">
        <v>1336.6412040887769</v>
      </c>
      <c r="F64">
        <v>2666.1937453343121</v>
      </c>
      <c r="G64">
        <f t="shared" si="1"/>
        <v>1</v>
      </c>
      <c r="I64">
        <f>C64+E64</f>
        <v>1415.958863370199</v>
      </c>
      <c r="J64">
        <f>F64+B64</f>
        <v>2718.8057520990606</v>
      </c>
      <c r="K64">
        <f t="shared" si="2"/>
        <v>0</v>
      </c>
      <c r="L64">
        <f t="shared" si="3"/>
        <v>0</v>
      </c>
    </row>
    <row r="65" spans="1:12" x14ac:dyDescent="0.35">
      <c r="A65" s="1" t="s">
        <v>65</v>
      </c>
      <c r="B65">
        <v>138.08450970067329</v>
      </c>
      <c r="C65">
        <v>117.1045087707613</v>
      </c>
      <c r="D65">
        <f t="shared" si="0"/>
        <v>0</v>
      </c>
      <c r="E65">
        <v>2472.297165567511</v>
      </c>
      <c r="F65">
        <v>4085.972231348032</v>
      </c>
      <c r="G65">
        <f t="shared" si="1"/>
        <v>1</v>
      </c>
      <c r="I65">
        <f>C65+E65</f>
        <v>2589.4016743382722</v>
      </c>
      <c r="J65">
        <f>F65+B65</f>
        <v>4224.0567410487056</v>
      </c>
      <c r="K65">
        <f t="shared" si="2"/>
        <v>0</v>
      </c>
      <c r="L65">
        <f t="shared" si="3"/>
        <v>0</v>
      </c>
    </row>
    <row r="66" spans="1:12" x14ac:dyDescent="0.35">
      <c r="A66" s="1" t="s">
        <v>66</v>
      </c>
      <c r="B66">
        <v>363.71025611932498</v>
      </c>
      <c r="C66">
        <v>1155.1644256080849</v>
      </c>
      <c r="D66">
        <f t="shared" ref="D66:D101" si="4">IF(B66&lt;C66,1,0)</f>
        <v>1</v>
      </c>
      <c r="E66">
        <v>2553.920453810942</v>
      </c>
      <c r="F66">
        <v>805.28640180560978</v>
      </c>
      <c r="G66">
        <f t="shared" ref="G66:G101" si="5">IF(E66&lt;F66,1,0)</f>
        <v>0</v>
      </c>
      <c r="I66">
        <f>C66+E66</f>
        <v>3709.0848794190269</v>
      </c>
      <c r="J66">
        <f>F66+B66</f>
        <v>1168.9966579249349</v>
      </c>
      <c r="K66">
        <f t="shared" si="2"/>
        <v>0</v>
      </c>
      <c r="L66">
        <f t="shared" si="3"/>
        <v>1</v>
      </c>
    </row>
    <row r="67" spans="1:12" x14ac:dyDescent="0.35">
      <c r="A67" s="1" t="s">
        <v>67</v>
      </c>
      <c r="B67">
        <v>1270.753895000993</v>
      </c>
      <c r="C67">
        <v>1416.631832785994</v>
      </c>
      <c r="D67">
        <f t="shared" si="4"/>
        <v>1</v>
      </c>
      <c r="E67">
        <v>1379.3427279577199</v>
      </c>
      <c r="F67">
        <v>1243.226450878685</v>
      </c>
      <c r="G67">
        <f t="shared" si="5"/>
        <v>0</v>
      </c>
      <c r="I67">
        <f>C67+E67</f>
        <v>2795.9745607437139</v>
      </c>
      <c r="J67">
        <f>F67+B67</f>
        <v>2513.9803458796778</v>
      </c>
      <c r="K67">
        <f t="shared" ref="K67:K101" si="6">IF(J67-I67&gt;I67,1,0)</f>
        <v>0</v>
      </c>
      <c r="L67">
        <f t="shared" ref="L67:L101" si="7">IF(I67-J67&gt;J67,1,0)</f>
        <v>0</v>
      </c>
    </row>
    <row r="68" spans="1:12" x14ac:dyDescent="0.35">
      <c r="A68" s="1" t="s">
        <v>68</v>
      </c>
      <c r="B68">
        <v>1971.314797902188</v>
      </c>
      <c r="C68">
        <v>1227.6906950694761</v>
      </c>
      <c r="D68">
        <f t="shared" si="4"/>
        <v>0</v>
      </c>
      <c r="E68">
        <v>1220.6409184759329</v>
      </c>
      <c r="F68">
        <v>2022.7150545838081</v>
      </c>
      <c r="G68">
        <f t="shared" si="5"/>
        <v>1</v>
      </c>
      <c r="I68">
        <f>C68+E68</f>
        <v>2448.3316135454088</v>
      </c>
      <c r="J68">
        <f>F68+B68</f>
        <v>3994.0298524859963</v>
      </c>
      <c r="K68">
        <f t="shared" si="6"/>
        <v>0</v>
      </c>
      <c r="L68">
        <f t="shared" si="7"/>
        <v>0</v>
      </c>
    </row>
    <row r="69" spans="1:12" x14ac:dyDescent="0.35">
      <c r="A69" s="1" t="s">
        <v>69</v>
      </c>
      <c r="B69">
        <v>2254.379373769315</v>
      </c>
      <c r="C69">
        <v>1430.9464644223999</v>
      </c>
      <c r="D69">
        <f t="shared" si="4"/>
        <v>0</v>
      </c>
      <c r="E69">
        <v>1379.3085145590901</v>
      </c>
      <c r="F69">
        <v>2283.891793835422</v>
      </c>
      <c r="G69">
        <f t="shared" si="5"/>
        <v>1</v>
      </c>
      <c r="I69">
        <f>C69+E69</f>
        <v>2810.2549789814902</v>
      </c>
      <c r="J69">
        <f>F69+B69</f>
        <v>4538.2711676047365</v>
      </c>
      <c r="K69">
        <f t="shared" si="6"/>
        <v>0</v>
      </c>
      <c r="L69">
        <f t="shared" si="7"/>
        <v>0</v>
      </c>
    </row>
    <row r="70" spans="1:12" x14ac:dyDescent="0.35">
      <c r="A70" s="1" t="s">
        <v>70</v>
      </c>
      <c r="B70">
        <v>2018.051914881722</v>
      </c>
      <c r="C70">
        <v>2397.0313993067061</v>
      </c>
      <c r="D70">
        <f t="shared" si="4"/>
        <v>1</v>
      </c>
      <c r="E70">
        <v>22.777999486165999</v>
      </c>
      <c r="F70">
        <v>39.527529460053607</v>
      </c>
      <c r="G70">
        <f t="shared" si="5"/>
        <v>1</v>
      </c>
      <c r="I70">
        <f>C70+E70</f>
        <v>2419.8093987928723</v>
      </c>
      <c r="J70">
        <f>F70+B70</f>
        <v>2057.5794443417758</v>
      </c>
      <c r="K70">
        <f t="shared" si="6"/>
        <v>0</v>
      </c>
      <c r="L70">
        <f t="shared" si="7"/>
        <v>0</v>
      </c>
    </row>
    <row r="71" spans="1:12" x14ac:dyDescent="0.35">
      <c r="A71" s="1" t="s">
        <v>71</v>
      </c>
      <c r="B71">
        <v>126.1010725425882</v>
      </c>
      <c r="C71">
        <v>367.1324209928398</v>
      </c>
      <c r="D71">
        <f t="shared" si="4"/>
        <v>1</v>
      </c>
      <c r="E71">
        <v>2193.97399101165</v>
      </c>
      <c r="F71">
        <v>481.05304627826058</v>
      </c>
      <c r="G71">
        <f t="shared" si="5"/>
        <v>0</v>
      </c>
      <c r="I71">
        <f>C71+E71</f>
        <v>2561.1064120044898</v>
      </c>
      <c r="J71">
        <f>F71+B71</f>
        <v>607.15411882084879</v>
      </c>
      <c r="K71">
        <f t="shared" si="6"/>
        <v>0</v>
      </c>
      <c r="L71">
        <f t="shared" si="7"/>
        <v>1</v>
      </c>
    </row>
    <row r="72" spans="1:12" x14ac:dyDescent="0.35">
      <c r="A72" s="1" t="s">
        <v>72</v>
      </c>
      <c r="B72">
        <v>262.14521597939961</v>
      </c>
      <c r="C72">
        <v>338.46873061054453</v>
      </c>
      <c r="D72">
        <f t="shared" si="4"/>
        <v>1</v>
      </c>
      <c r="E72">
        <v>1027.275480899827</v>
      </c>
      <c r="F72">
        <v>555.58017752850435</v>
      </c>
      <c r="G72">
        <f t="shared" si="5"/>
        <v>0</v>
      </c>
      <c r="I72">
        <f>C72+E72</f>
        <v>1365.7442115103715</v>
      </c>
      <c r="J72">
        <f>F72+B72</f>
        <v>817.72539350790396</v>
      </c>
      <c r="K72">
        <f t="shared" si="6"/>
        <v>0</v>
      </c>
      <c r="L72">
        <f t="shared" si="7"/>
        <v>0</v>
      </c>
    </row>
    <row r="73" spans="1:12" x14ac:dyDescent="0.35">
      <c r="A73" s="1" t="s">
        <v>73</v>
      </c>
      <c r="B73">
        <v>1331.2928842186341</v>
      </c>
      <c r="C73">
        <v>1469.56421115539</v>
      </c>
      <c r="D73">
        <f t="shared" si="4"/>
        <v>1</v>
      </c>
      <c r="E73">
        <v>1419.703706473573</v>
      </c>
      <c r="F73">
        <v>1307.5687609357719</v>
      </c>
      <c r="G73">
        <f t="shared" si="5"/>
        <v>0</v>
      </c>
      <c r="I73">
        <f>C73+E73</f>
        <v>2889.267917628963</v>
      </c>
      <c r="J73">
        <f>F73+B73</f>
        <v>2638.8616451544058</v>
      </c>
      <c r="K73">
        <f t="shared" si="6"/>
        <v>0</v>
      </c>
      <c r="L73">
        <f t="shared" si="7"/>
        <v>0</v>
      </c>
    </row>
    <row r="74" spans="1:12" x14ac:dyDescent="0.35">
      <c r="A74" s="1" t="s">
        <v>74</v>
      </c>
      <c r="B74">
        <v>2370.9154519186541</v>
      </c>
      <c r="C74">
        <v>2938.0155238671109</v>
      </c>
      <c r="D74">
        <f t="shared" si="4"/>
        <v>1</v>
      </c>
      <c r="E74">
        <v>2594.817296609086</v>
      </c>
      <c r="F74">
        <v>2249.0532324811688</v>
      </c>
      <c r="G74">
        <f t="shared" si="5"/>
        <v>0</v>
      </c>
      <c r="I74">
        <f>C74+E74</f>
        <v>5532.8328204761965</v>
      </c>
      <c r="J74">
        <f>F74+B74</f>
        <v>4619.9686843998225</v>
      </c>
      <c r="K74">
        <f t="shared" si="6"/>
        <v>0</v>
      </c>
      <c r="L74">
        <f t="shared" si="7"/>
        <v>0</v>
      </c>
    </row>
    <row r="75" spans="1:12" x14ac:dyDescent="0.35">
      <c r="A75" s="1" t="s">
        <v>75</v>
      </c>
      <c r="B75">
        <v>1744.296223202871</v>
      </c>
      <c r="C75">
        <v>1314.4751572720911</v>
      </c>
      <c r="D75">
        <f t="shared" si="4"/>
        <v>0</v>
      </c>
      <c r="E75">
        <v>1281.7296114121391</v>
      </c>
      <c r="F75">
        <v>1808.158212361096</v>
      </c>
      <c r="G75">
        <f t="shared" si="5"/>
        <v>1</v>
      </c>
      <c r="I75">
        <f>C75+E75</f>
        <v>2596.2047686842302</v>
      </c>
      <c r="J75">
        <f>F75+B75</f>
        <v>3552.4544355639673</v>
      </c>
      <c r="K75">
        <f t="shared" si="6"/>
        <v>0</v>
      </c>
      <c r="L75">
        <f t="shared" si="7"/>
        <v>0</v>
      </c>
    </row>
    <row r="76" spans="1:12" x14ac:dyDescent="0.35">
      <c r="A76" s="1" t="s">
        <v>76</v>
      </c>
      <c r="B76">
        <v>1882.6968189350571</v>
      </c>
      <c r="C76">
        <v>1550.168113825395</v>
      </c>
      <c r="D76">
        <f t="shared" si="4"/>
        <v>0</v>
      </c>
      <c r="E76">
        <v>1514.3277001179299</v>
      </c>
      <c r="F76">
        <v>1875.3342127486101</v>
      </c>
      <c r="G76">
        <f t="shared" si="5"/>
        <v>1</v>
      </c>
      <c r="I76">
        <f>C76+E76</f>
        <v>3064.4958139433247</v>
      </c>
      <c r="J76">
        <f>F76+B76</f>
        <v>3758.0310316836672</v>
      </c>
      <c r="K76">
        <f t="shared" si="6"/>
        <v>0</v>
      </c>
      <c r="L76">
        <f t="shared" si="7"/>
        <v>0</v>
      </c>
    </row>
    <row r="77" spans="1:12" x14ac:dyDescent="0.35">
      <c r="A77" s="1" t="s">
        <v>77</v>
      </c>
      <c r="B77">
        <v>48.776381052048869</v>
      </c>
      <c r="C77">
        <v>64.821522244129241</v>
      </c>
      <c r="D77">
        <f t="shared" si="4"/>
        <v>1</v>
      </c>
      <c r="E77">
        <v>3882.6441719118702</v>
      </c>
      <c r="F77">
        <v>3020.4816657751421</v>
      </c>
      <c r="G77">
        <f t="shared" si="5"/>
        <v>0</v>
      </c>
      <c r="I77">
        <f>C77+E77</f>
        <v>3947.4656941559992</v>
      </c>
      <c r="J77">
        <f>F77+B77</f>
        <v>3069.2580468271908</v>
      </c>
      <c r="K77">
        <f t="shared" si="6"/>
        <v>0</v>
      </c>
      <c r="L77">
        <f t="shared" si="7"/>
        <v>0</v>
      </c>
    </row>
    <row r="78" spans="1:12" x14ac:dyDescent="0.35">
      <c r="A78" s="1" t="s">
        <v>78</v>
      </c>
      <c r="B78">
        <v>1626.288224778644</v>
      </c>
      <c r="C78">
        <v>3581.533847569835</v>
      </c>
      <c r="D78">
        <f t="shared" si="4"/>
        <v>1</v>
      </c>
      <c r="E78">
        <v>3727.7380844186519</v>
      </c>
      <c r="F78">
        <v>1740.2329991572481</v>
      </c>
      <c r="G78">
        <f t="shared" si="5"/>
        <v>0</v>
      </c>
      <c r="I78">
        <f>C78+E78</f>
        <v>7309.2719319884873</v>
      </c>
      <c r="J78">
        <f>F78+B78</f>
        <v>3366.5212239358921</v>
      </c>
      <c r="K78">
        <f t="shared" si="6"/>
        <v>0</v>
      </c>
      <c r="L78">
        <f t="shared" si="7"/>
        <v>1</v>
      </c>
    </row>
    <row r="79" spans="1:12" x14ac:dyDescent="0.35">
      <c r="A79" s="1" t="s">
        <v>79</v>
      </c>
      <c r="B79">
        <v>330.24293360237959</v>
      </c>
      <c r="C79">
        <v>167.94257241886689</v>
      </c>
      <c r="D79">
        <f t="shared" si="4"/>
        <v>0</v>
      </c>
      <c r="E79">
        <v>695.95278877231215</v>
      </c>
      <c r="F79">
        <v>1935.64756702715</v>
      </c>
      <c r="G79">
        <f t="shared" si="5"/>
        <v>1</v>
      </c>
      <c r="I79">
        <f>C79+E79</f>
        <v>863.89536119117906</v>
      </c>
      <c r="J79">
        <f>F79+B79</f>
        <v>2265.8905006295295</v>
      </c>
      <c r="K79">
        <f t="shared" si="6"/>
        <v>1</v>
      </c>
      <c r="L79">
        <f t="shared" si="7"/>
        <v>0</v>
      </c>
    </row>
    <row r="80" spans="1:12" x14ac:dyDescent="0.35">
      <c r="A80" s="1" t="s">
        <v>80</v>
      </c>
      <c r="B80">
        <v>48.636790058719278</v>
      </c>
      <c r="C80">
        <v>55.661411121981359</v>
      </c>
      <c r="D80">
        <f t="shared" si="4"/>
        <v>1</v>
      </c>
      <c r="E80">
        <v>20.092903934318208</v>
      </c>
      <c r="F80">
        <v>73.416425835344768</v>
      </c>
      <c r="G80">
        <f t="shared" si="5"/>
        <v>1</v>
      </c>
      <c r="I80">
        <f>C80+E80</f>
        <v>75.754315056299561</v>
      </c>
      <c r="J80">
        <f>F80+B80</f>
        <v>122.05321589406404</v>
      </c>
      <c r="K80">
        <f t="shared" si="6"/>
        <v>0</v>
      </c>
      <c r="L80">
        <f t="shared" si="7"/>
        <v>0</v>
      </c>
    </row>
    <row r="81" spans="1:12" x14ac:dyDescent="0.35">
      <c r="A81" s="1" t="s">
        <v>81</v>
      </c>
      <c r="B81">
        <v>2372.2692788803338</v>
      </c>
      <c r="C81">
        <v>2508.3226293462981</v>
      </c>
      <c r="D81">
        <f t="shared" si="4"/>
        <v>1</v>
      </c>
      <c r="E81">
        <v>2431.8259525303729</v>
      </c>
      <c r="F81">
        <v>2446.8514846536468</v>
      </c>
      <c r="G81">
        <f t="shared" si="5"/>
        <v>1</v>
      </c>
      <c r="I81">
        <f>C81+E81</f>
        <v>4940.1485818766705</v>
      </c>
      <c r="J81">
        <f>F81+B81</f>
        <v>4819.1207635339806</v>
      </c>
      <c r="K81">
        <f t="shared" si="6"/>
        <v>0</v>
      </c>
      <c r="L81">
        <f t="shared" si="7"/>
        <v>0</v>
      </c>
    </row>
    <row r="82" spans="1:12" x14ac:dyDescent="0.35">
      <c r="A82" s="1" t="s">
        <v>82</v>
      </c>
      <c r="B82">
        <v>1958.1356527302751</v>
      </c>
      <c r="C82">
        <v>1822.3294007997949</v>
      </c>
      <c r="D82">
        <f t="shared" si="4"/>
        <v>0</v>
      </c>
      <c r="E82">
        <v>1751.9702823921041</v>
      </c>
      <c r="F82">
        <v>1944.7792360613489</v>
      </c>
      <c r="G82">
        <f t="shared" si="5"/>
        <v>1</v>
      </c>
      <c r="I82">
        <f>C82+E82</f>
        <v>3574.299683191899</v>
      </c>
      <c r="J82">
        <f>F82+B82</f>
        <v>3902.914888791624</v>
      </c>
      <c r="K82">
        <f t="shared" si="6"/>
        <v>0</v>
      </c>
      <c r="L82">
        <f t="shared" si="7"/>
        <v>0</v>
      </c>
    </row>
    <row r="83" spans="1:12" x14ac:dyDescent="0.35">
      <c r="A83" s="1" t="s">
        <v>83</v>
      </c>
      <c r="B83">
        <v>983.10884476240119</v>
      </c>
      <c r="C83">
        <v>3262.1902596922928</v>
      </c>
      <c r="D83">
        <f t="shared" si="4"/>
        <v>1</v>
      </c>
      <c r="E83">
        <v>3403.4169445368539</v>
      </c>
      <c r="F83">
        <v>1057.0379472823261</v>
      </c>
      <c r="G83">
        <f t="shared" si="5"/>
        <v>0</v>
      </c>
      <c r="I83">
        <f>C83+E83</f>
        <v>6665.6072042291471</v>
      </c>
      <c r="J83">
        <f>F83+B83</f>
        <v>2040.1467920447271</v>
      </c>
      <c r="K83">
        <f t="shared" si="6"/>
        <v>0</v>
      </c>
      <c r="L83">
        <f t="shared" si="7"/>
        <v>1</v>
      </c>
    </row>
    <row r="84" spans="1:12" x14ac:dyDescent="0.35">
      <c r="A84" s="1" t="s">
        <v>84</v>
      </c>
      <c r="B84">
        <v>2371.0999763524228</v>
      </c>
      <c r="C84">
        <v>1865.487189371034</v>
      </c>
      <c r="D84">
        <f t="shared" si="4"/>
        <v>0</v>
      </c>
      <c r="E84">
        <v>1676.254428797519</v>
      </c>
      <c r="F84">
        <v>2247.6300048345001</v>
      </c>
      <c r="G84">
        <f t="shared" si="5"/>
        <v>1</v>
      </c>
      <c r="I84">
        <f>C84+E84</f>
        <v>3541.741618168553</v>
      </c>
      <c r="J84">
        <f>F84+B84</f>
        <v>4618.7299811869234</v>
      </c>
      <c r="K84">
        <f t="shared" si="6"/>
        <v>0</v>
      </c>
      <c r="L84">
        <f t="shared" si="7"/>
        <v>0</v>
      </c>
    </row>
    <row r="85" spans="1:12" x14ac:dyDescent="0.35">
      <c r="A85" s="1" t="s">
        <v>85</v>
      </c>
      <c r="B85">
        <v>61.034762351106167</v>
      </c>
      <c r="C85">
        <v>43.566990023411343</v>
      </c>
      <c r="D85">
        <f t="shared" si="4"/>
        <v>0</v>
      </c>
      <c r="E85">
        <v>1289.7137398652969</v>
      </c>
      <c r="F85">
        <v>2406.8627940999681</v>
      </c>
      <c r="G85">
        <f t="shared" si="5"/>
        <v>1</v>
      </c>
      <c r="I85">
        <f>C85+E85</f>
        <v>1333.2807298887083</v>
      </c>
      <c r="J85">
        <f>F85+B85</f>
        <v>2467.8975564510743</v>
      </c>
      <c r="K85">
        <f t="shared" si="6"/>
        <v>0</v>
      </c>
      <c r="L85">
        <f t="shared" si="7"/>
        <v>0</v>
      </c>
    </row>
    <row r="86" spans="1:12" x14ac:dyDescent="0.35">
      <c r="A86" s="1" t="s">
        <v>86</v>
      </c>
      <c r="B86">
        <v>1416.436089427006</v>
      </c>
      <c r="C86">
        <v>2236.3780901336622</v>
      </c>
      <c r="D86">
        <f t="shared" si="4"/>
        <v>1</v>
      </c>
      <c r="E86">
        <v>2158.2779232909902</v>
      </c>
      <c r="F86">
        <v>1432.877657279493</v>
      </c>
      <c r="G86">
        <f t="shared" si="5"/>
        <v>0</v>
      </c>
      <c r="I86">
        <f>C86+E86</f>
        <v>4394.656013424652</v>
      </c>
      <c r="J86">
        <f>F86+B86</f>
        <v>2849.3137467064989</v>
      </c>
      <c r="K86">
        <f t="shared" si="6"/>
        <v>0</v>
      </c>
      <c r="L86">
        <f t="shared" si="7"/>
        <v>0</v>
      </c>
    </row>
    <row r="87" spans="1:12" x14ac:dyDescent="0.35">
      <c r="A87" s="1" t="s">
        <v>87</v>
      </c>
      <c r="B87">
        <v>1579.537604312653</v>
      </c>
      <c r="C87">
        <v>2698.3777251639672</v>
      </c>
      <c r="D87">
        <f t="shared" si="4"/>
        <v>1</v>
      </c>
      <c r="E87">
        <v>2652.6310735444381</v>
      </c>
      <c r="F87">
        <v>1629.5250348441571</v>
      </c>
      <c r="G87">
        <f t="shared" si="5"/>
        <v>0</v>
      </c>
      <c r="I87">
        <f>C87+E87</f>
        <v>5351.0087987084053</v>
      </c>
      <c r="J87">
        <f>F87+B87</f>
        <v>3209.0626391568103</v>
      </c>
      <c r="K87">
        <f t="shared" si="6"/>
        <v>0</v>
      </c>
      <c r="L87">
        <f t="shared" si="7"/>
        <v>0</v>
      </c>
    </row>
    <row r="88" spans="1:12" x14ac:dyDescent="0.35">
      <c r="A88" s="1" t="s">
        <v>88</v>
      </c>
      <c r="B88">
        <v>321.53915282330252</v>
      </c>
      <c r="C88">
        <v>328.54944174755792</v>
      </c>
      <c r="D88">
        <f t="shared" si="4"/>
        <v>1</v>
      </c>
      <c r="E88">
        <v>1044.848759130952</v>
      </c>
      <c r="F88">
        <v>1104.9696750172891</v>
      </c>
      <c r="G88">
        <f t="shared" si="5"/>
        <v>1</v>
      </c>
      <c r="I88">
        <f>C88+E88</f>
        <v>1373.3982008785099</v>
      </c>
      <c r="J88">
        <f>F88+B88</f>
        <v>1426.5088278405915</v>
      </c>
      <c r="K88">
        <f t="shared" si="6"/>
        <v>0</v>
      </c>
      <c r="L88">
        <f t="shared" si="7"/>
        <v>0</v>
      </c>
    </row>
    <row r="89" spans="1:12" x14ac:dyDescent="0.35">
      <c r="A89" s="1" t="s">
        <v>89</v>
      </c>
      <c r="B89">
        <v>159.09655705343349</v>
      </c>
      <c r="C89">
        <v>113.8306329758432</v>
      </c>
      <c r="D89">
        <f t="shared" si="4"/>
        <v>0</v>
      </c>
      <c r="E89">
        <v>728.9459095399111</v>
      </c>
      <c r="F89">
        <v>479.38731790308788</v>
      </c>
      <c r="G89">
        <f t="shared" si="5"/>
        <v>0</v>
      </c>
      <c r="I89">
        <f>C89+E89</f>
        <v>842.77654251575427</v>
      </c>
      <c r="J89">
        <f>F89+B89</f>
        <v>638.48387495652139</v>
      </c>
      <c r="K89">
        <f t="shared" si="6"/>
        <v>0</v>
      </c>
      <c r="L89">
        <f t="shared" si="7"/>
        <v>0</v>
      </c>
    </row>
    <row r="90" spans="1:12" x14ac:dyDescent="0.35">
      <c r="A90" s="1" t="s">
        <v>90</v>
      </c>
      <c r="B90">
        <v>405.55483758657277</v>
      </c>
      <c r="C90">
        <v>1256.6714500099799</v>
      </c>
      <c r="D90">
        <f t="shared" si="4"/>
        <v>1</v>
      </c>
      <c r="E90">
        <v>3036.2737868889931</v>
      </c>
      <c r="F90">
        <v>1668.116202934161</v>
      </c>
      <c r="G90">
        <f t="shared" si="5"/>
        <v>0</v>
      </c>
      <c r="I90">
        <f>C90+E90</f>
        <v>4292.9452368989732</v>
      </c>
      <c r="J90">
        <f>F90+B90</f>
        <v>2073.6710405207336</v>
      </c>
      <c r="K90">
        <f t="shared" si="6"/>
        <v>0</v>
      </c>
      <c r="L90">
        <f t="shared" si="7"/>
        <v>1</v>
      </c>
    </row>
    <row r="91" spans="1:12" x14ac:dyDescent="0.35">
      <c r="A91" s="1" t="s">
        <v>91</v>
      </c>
      <c r="B91">
        <v>26.031654938238741</v>
      </c>
      <c r="C91">
        <v>145.4869798781157</v>
      </c>
      <c r="D91">
        <f t="shared" si="4"/>
        <v>1</v>
      </c>
      <c r="E91">
        <v>3065.511844249098</v>
      </c>
      <c r="F91">
        <v>2792.9605254202011</v>
      </c>
      <c r="G91">
        <f t="shared" si="5"/>
        <v>0</v>
      </c>
      <c r="I91">
        <f>C91+E91</f>
        <v>3210.9988241272135</v>
      </c>
      <c r="J91">
        <f>F91+B91</f>
        <v>2818.9921803584398</v>
      </c>
      <c r="K91">
        <f t="shared" si="6"/>
        <v>0</v>
      </c>
      <c r="L91">
        <f t="shared" si="7"/>
        <v>0</v>
      </c>
    </row>
    <row r="92" spans="1:12" x14ac:dyDescent="0.35">
      <c r="A92" s="1" t="s">
        <v>92</v>
      </c>
      <c r="B92">
        <v>241.3977095202072</v>
      </c>
      <c r="C92">
        <v>501.97649741040988</v>
      </c>
      <c r="D92">
        <f t="shared" si="4"/>
        <v>1</v>
      </c>
      <c r="E92">
        <v>1416.4053148093351</v>
      </c>
      <c r="F92">
        <v>600.19771786538934</v>
      </c>
      <c r="G92">
        <f t="shared" si="5"/>
        <v>0</v>
      </c>
      <c r="I92">
        <f>C92+E92</f>
        <v>1918.3818122197449</v>
      </c>
      <c r="J92">
        <f>F92+B92</f>
        <v>841.59542738559651</v>
      </c>
      <c r="K92">
        <f t="shared" si="6"/>
        <v>0</v>
      </c>
      <c r="L92">
        <f t="shared" si="7"/>
        <v>1</v>
      </c>
    </row>
    <row r="93" spans="1:12" x14ac:dyDescent="0.35">
      <c r="A93" s="1" t="s">
        <v>93</v>
      </c>
      <c r="B93">
        <v>3204.9813806696789</v>
      </c>
      <c r="C93">
        <v>1108.3622782060561</v>
      </c>
      <c r="D93">
        <f t="shared" si="4"/>
        <v>0</v>
      </c>
      <c r="E93">
        <v>1139.739658541368</v>
      </c>
      <c r="F93">
        <v>3336.2160790088469</v>
      </c>
      <c r="G93">
        <f t="shared" si="5"/>
        <v>1</v>
      </c>
      <c r="I93">
        <f>C93+E93</f>
        <v>2248.1019367474241</v>
      </c>
      <c r="J93">
        <f>F93+B93</f>
        <v>6541.1974596785258</v>
      </c>
      <c r="K93">
        <f t="shared" si="6"/>
        <v>1</v>
      </c>
      <c r="L93">
        <f t="shared" si="7"/>
        <v>0</v>
      </c>
    </row>
    <row r="94" spans="1:12" x14ac:dyDescent="0.35">
      <c r="A94" s="1" t="s">
        <v>94</v>
      </c>
      <c r="B94">
        <v>1384.644092966847</v>
      </c>
      <c r="C94">
        <v>2182.6921703528228</v>
      </c>
      <c r="D94">
        <f t="shared" si="4"/>
        <v>1</v>
      </c>
      <c r="E94">
        <v>2075.734027241816</v>
      </c>
      <c r="F94">
        <v>1376.518744039347</v>
      </c>
      <c r="G94">
        <f t="shared" si="5"/>
        <v>0</v>
      </c>
      <c r="I94">
        <f>C94+E94</f>
        <v>4258.4261975946392</v>
      </c>
      <c r="J94">
        <f>F94+B94</f>
        <v>2761.162837006194</v>
      </c>
      <c r="K94">
        <f t="shared" si="6"/>
        <v>0</v>
      </c>
      <c r="L94">
        <f t="shared" si="7"/>
        <v>0</v>
      </c>
    </row>
    <row r="95" spans="1:12" x14ac:dyDescent="0.35">
      <c r="A95" s="1" t="s">
        <v>95</v>
      </c>
      <c r="B95">
        <v>442.41120887756711</v>
      </c>
      <c r="C95">
        <v>1178.2016841631539</v>
      </c>
      <c r="D95">
        <f t="shared" si="4"/>
        <v>1</v>
      </c>
      <c r="E95">
        <v>2613.3521572898621</v>
      </c>
      <c r="F95">
        <v>944.25680603121009</v>
      </c>
      <c r="G95">
        <f t="shared" si="5"/>
        <v>0</v>
      </c>
      <c r="I95">
        <f>C95+E95</f>
        <v>3791.553841453016</v>
      </c>
      <c r="J95">
        <f>F95+B95</f>
        <v>1386.6680149087772</v>
      </c>
      <c r="K95">
        <f t="shared" si="6"/>
        <v>0</v>
      </c>
      <c r="L95">
        <f t="shared" si="7"/>
        <v>1</v>
      </c>
    </row>
    <row r="96" spans="1:12" x14ac:dyDescent="0.35">
      <c r="A96" s="1" t="s">
        <v>96</v>
      </c>
      <c r="B96">
        <v>1784.284545629861</v>
      </c>
      <c r="C96">
        <v>1288.9887598629309</v>
      </c>
      <c r="D96">
        <f t="shared" si="4"/>
        <v>0</v>
      </c>
      <c r="E96">
        <v>1300.836906954858</v>
      </c>
      <c r="F96">
        <v>1929.346541973232</v>
      </c>
      <c r="G96">
        <f t="shared" si="5"/>
        <v>1</v>
      </c>
      <c r="I96">
        <f>C96+E96</f>
        <v>2589.8256668177892</v>
      </c>
      <c r="J96">
        <f>F96+B96</f>
        <v>3713.631087603093</v>
      </c>
      <c r="K96">
        <f t="shared" si="6"/>
        <v>0</v>
      </c>
      <c r="L96">
        <f t="shared" si="7"/>
        <v>0</v>
      </c>
    </row>
    <row r="97" spans="1:12" x14ac:dyDescent="0.35">
      <c r="A97" s="1" t="s">
        <v>97</v>
      </c>
      <c r="B97">
        <v>2452.2225019188741</v>
      </c>
      <c r="C97">
        <v>767.71164796138999</v>
      </c>
      <c r="D97">
        <f t="shared" si="4"/>
        <v>0</v>
      </c>
      <c r="E97">
        <v>424.23567103482731</v>
      </c>
      <c r="F97">
        <v>618.99857721178364</v>
      </c>
      <c r="G97">
        <f t="shared" si="5"/>
        <v>1</v>
      </c>
      <c r="I97">
        <f>C97+E97</f>
        <v>1191.9473189962173</v>
      </c>
      <c r="J97">
        <f>F97+B97</f>
        <v>3071.2210791306579</v>
      </c>
      <c r="K97">
        <f t="shared" si="6"/>
        <v>1</v>
      </c>
      <c r="L97">
        <f t="shared" si="7"/>
        <v>0</v>
      </c>
    </row>
    <row r="98" spans="1:12" x14ac:dyDescent="0.35">
      <c r="A98" s="1" t="s">
        <v>98</v>
      </c>
      <c r="B98">
        <v>1551.823481007254</v>
      </c>
      <c r="C98">
        <v>1714.489897620706</v>
      </c>
      <c r="D98">
        <f t="shared" si="4"/>
        <v>1</v>
      </c>
      <c r="E98">
        <v>1751.9396199052071</v>
      </c>
      <c r="F98">
        <v>1608.363337472721</v>
      </c>
      <c r="G98">
        <f t="shared" si="5"/>
        <v>0</v>
      </c>
      <c r="I98">
        <f>C98+E98</f>
        <v>3466.4295175259131</v>
      </c>
      <c r="J98">
        <f>F98+B98</f>
        <v>3160.186818479975</v>
      </c>
      <c r="K98">
        <f t="shared" si="6"/>
        <v>0</v>
      </c>
      <c r="L98">
        <f t="shared" si="7"/>
        <v>0</v>
      </c>
    </row>
    <row r="99" spans="1:12" x14ac:dyDescent="0.35">
      <c r="A99" s="1" t="s">
        <v>99</v>
      </c>
      <c r="B99">
        <v>783.81216451334967</v>
      </c>
      <c r="C99">
        <v>1170.7525408245449</v>
      </c>
      <c r="D99">
        <f t="shared" si="4"/>
        <v>1</v>
      </c>
      <c r="E99">
        <v>1231.18904336932</v>
      </c>
      <c r="F99">
        <v>856.27050115835436</v>
      </c>
      <c r="G99">
        <f t="shared" si="5"/>
        <v>0</v>
      </c>
      <c r="I99">
        <f>C99+E99</f>
        <v>2401.9415841938649</v>
      </c>
      <c r="J99">
        <f>F99+B99</f>
        <v>1640.082665671704</v>
      </c>
      <c r="K99">
        <f t="shared" si="6"/>
        <v>0</v>
      </c>
      <c r="L99">
        <f t="shared" si="7"/>
        <v>0</v>
      </c>
    </row>
    <row r="100" spans="1:12" x14ac:dyDescent="0.35">
      <c r="A100" s="1" t="s">
        <v>100</v>
      </c>
      <c r="B100">
        <v>331.39805674591918</v>
      </c>
      <c r="C100">
        <v>1712.0032715574839</v>
      </c>
      <c r="D100">
        <f t="shared" si="4"/>
        <v>1</v>
      </c>
      <c r="E100">
        <v>3379.230419600909</v>
      </c>
      <c r="F100">
        <v>1162.596320646813</v>
      </c>
      <c r="G100">
        <f t="shared" si="5"/>
        <v>0</v>
      </c>
      <c r="I100">
        <f>C100+E100</f>
        <v>5091.2336911583934</v>
      </c>
      <c r="J100">
        <f>F100+B100</f>
        <v>1493.9943773927321</v>
      </c>
      <c r="K100">
        <f t="shared" si="6"/>
        <v>0</v>
      </c>
      <c r="L100">
        <f t="shared" si="7"/>
        <v>1</v>
      </c>
    </row>
    <row r="101" spans="1:12" ht="15" thickBot="1" x14ac:dyDescent="0.4">
      <c r="A101" s="1" t="s">
        <v>101</v>
      </c>
      <c r="B101">
        <v>569.41394808086409</v>
      </c>
      <c r="C101">
        <v>3371.7569363800872</v>
      </c>
      <c r="D101" s="2">
        <f t="shared" si="4"/>
        <v>1</v>
      </c>
      <c r="E101">
        <v>3486.320723115402</v>
      </c>
      <c r="F101">
        <v>604.6444938994822</v>
      </c>
      <c r="G101" s="2">
        <f t="shared" si="5"/>
        <v>0</v>
      </c>
      <c r="I101">
        <f>C101+E101</f>
        <v>6858.0776594954896</v>
      </c>
      <c r="J101">
        <f>F101+B101</f>
        <v>1174.0584419803463</v>
      </c>
      <c r="K101">
        <f t="shared" si="6"/>
        <v>0</v>
      </c>
      <c r="L101">
        <f t="shared" si="7"/>
        <v>1</v>
      </c>
    </row>
    <row r="102" spans="1:12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2025-05-15T03:34:56Z</dcterms:created>
  <dcterms:modified xsi:type="dcterms:W3CDTF">2025-05-17T09:05:02Z</dcterms:modified>
</cp:coreProperties>
</file>