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012\OneDrive\Programs\JJ\Data_bases\DB_tests\Cause_effect_pair\"/>
    </mc:Choice>
  </mc:AlternateContent>
  <xr:revisionPtr revIDLastSave="0" documentId="13_ncr:1_{F6E059CC-9F5B-45BE-B55A-282515896D11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1" i="1" s="1"/>
  <c r="I5" i="1"/>
  <c r="I4" i="1"/>
  <c r="I3" i="1"/>
  <c r="I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1" i="1" s="1"/>
  <c r="H5" i="1"/>
  <c r="H4" i="1"/>
  <c r="H3" i="1"/>
  <c r="H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1" i="1" s="1"/>
  <c r="E5" i="1"/>
  <c r="E4" i="1"/>
  <c r="E3" i="1"/>
  <c r="E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M1" i="1" l="1"/>
  <c r="D1" i="1"/>
  <c r="L1" i="1" l="1"/>
</calcChain>
</file>

<file path=xl/sharedStrings.xml><?xml version="1.0" encoding="utf-8"?>
<sst xmlns="http://schemas.openxmlformats.org/spreadsheetml/2006/main" count="106" uniqueCount="104">
  <si>
    <t>Path(['drop_duplicates_mean', 'to_DPLS_pred']A)</t>
  </si>
  <si>
    <t>Path(['drop_duplicates_mean', 'to_DPLS_pred']B)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</si>
  <si>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</si>
  <si>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</si>
  <si>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</si>
  <si>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</si>
  <si>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</si>
  <si>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</si>
  <si>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</si>
  <si>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</si>
  <si>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</si>
  <si>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</si>
  <si>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</si>
  <si>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</si>
  <si>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</si>
  <si>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</si>
  <si>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</si>
  <si>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</si>
  <si>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</si>
  <si>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</si>
  <si>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</si>
  <si>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</si>
  <si>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</si>
  <si>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</si>
  <si>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</si>
  <si>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</si>
  <si>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</si>
  <si>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</si>
  <si>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</si>
  <si>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</si>
  <si>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</si>
  <si>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</si>
  <si>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</si>
  <si>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</si>
  <si>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</si>
  <si>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</si>
  <si>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</si>
  <si>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</si>
  <si>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</si>
  <si>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</si>
  <si>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</si>
  <si>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</si>
  <si>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</si>
  <si>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</si>
  <si>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</si>
  <si>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</si>
  <si>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</si>
  <si>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</si>
  <si>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</si>
  <si>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</si>
  <si>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</si>
  <si>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</si>
  <si>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</si>
  <si>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</si>
  <si>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</si>
  <si>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</si>
  <si>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</si>
  <si>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</si>
  <si>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</si>
  <si>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</si>
  <si>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</si>
  <si>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</si>
  <si>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</si>
  <si>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</si>
  <si>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</si>
  <si>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</si>
  <si>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</si>
  <si>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</si>
  <si>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</si>
  <si>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</si>
  <si>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</si>
  <si>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</si>
  <si>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</si>
  <si>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</si>
  <si>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</si>
  <si>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</si>
  <si>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</si>
  <si>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</si>
  <si>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</si>
  <si>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</si>
  <si>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</si>
  <si>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</si>
  <si>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</si>
  <si>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</si>
  <si>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</si>
  <si>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</si>
  <si>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</si>
  <si>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</si>
  <si>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</si>
  <si>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</si>
  <si>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</si>
  <si>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</si>
  <si>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</si>
  <si>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</si>
  <si>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</si>
  <si>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</si>
  <si>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</si>
  <si>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</si>
  <si>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</si>
  <si>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</si>
  <si>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</si>
  <si>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</si>
  <si>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Path(drop_duplicates_meanB)</t>
  </si>
  <si>
    <t>Path(drop_duplicates_meanA)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</si>
</sst>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D1" zoomScale="70" zoomScaleNormal="70" workbookViewId="0">
      <selection activeCell="F8" sqref="F8"/>
    </sheetView>
  </sheetViews>
  <sheetFormatPr defaultRowHeight="14.5" x14ac:dyDescent="0.35"/>
  <cols>
    <col min="1" max="1" width="8.81640625" bestFit="1" customWidth="1"/>
    <col min="2" max="2" width="43.08984375" bestFit="1" customWidth="1"/>
    <col min="3" max="3" width="43" bestFit="1" customWidth="1"/>
    <col min="4" max="5" width="26.7265625" customWidth="1"/>
    <col min="6" max="6" width="43" bestFit="1" customWidth="1"/>
    <col min="7" max="7" width="43.08984375" bestFit="1" customWidth="1"/>
    <col min="9" max="9" width="26.7265625" customWidth="1"/>
    <col min="10" max="10" width="26.7265625" bestFit="1" customWidth="1"/>
    <col min="11" max="11" width="26.81640625" bestFit="1" customWidth="1"/>
  </cols>
  <sheetData>
    <row r="1" spans="1:13" x14ac:dyDescent="0.35">
      <c r="B1" s="1" t="s">
        <v>0</v>
      </c>
      <c r="C1" s="1" t="s">
        <v>1</v>
      </c>
      <c r="D1">
        <f>SUM(D2:D101)</f>
        <v>68</v>
      </c>
      <c r="E1">
        <f>SUM(E2:E101)</f>
        <v>-14685725.898553491</v>
      </c>
      <c r="F1" s="1" t="s">
        <v>1</v>
      </c>
      <c r="G1" s="1" t="s">
        <v>0</v>
      </c>
      <c r="H1">
        <f>SUM(H2:H101)</f>
        <v>66</v>
      </c>
      <c r="I1">
        <f>SUM(I2:I101)</f>
        <v>-1969007.3636939924</v>
      </c>
      <c r="J1" s="1" t="s">
        <v>102</v>
      </c>
      <c r="K1" s="1" t="s">
        <v>103</v>
      </c>
      <c r="L1">
        <f>SUM(L2:L101)</f>
        <v>32</v>
      </c>
      <c r="M1">
        <f>SUM(M2:M101)</f>
        <v>68</v>
      </c>
    </row>
    <row r="2" spans="1:13" x14ac:dyDescent="0.35">
      <c r="A2" s="1" t="s">
        <v>2</v>
      </c>
      <c r="B2">
        <v>880181.32700186432</v>
      </c>
      <c r="C2">
        <v>3390.3316661148169</v>
      </c>
      <c r="D2">
        <f>IF(B2&gt;C2,1,0)</f>
        <v>1</v>
      </c>
      <c r="E2">
        <f>C2-B2</f>
        <v>-876790.99533574947</v>
      </c>
      <c r="F2">
        <v>224.58940370015941</v>
      </c>
      <c r="G2">
        <v>36243.854827434567</v>
      </c>
      <c r="H2">
        <f>IF(F2&lt;G2,1,0)</f>
        <v>1</v>
      </c>
      <c r="I2">
        <f>F2-G2</f>
        <v>-36019.26542373441</v>
      </c>
      <c r="J2">
        <f>B2+G2</f>
        <v>916425.18182929885</v>
      </c>
      <c r="K2">
        <f>C2+F2</f>
        <v>3614.9210698149764</v>
      </c>
      <c r="L2">
        <f>IF(K2-J2&gt;0,1,0)</f>
        <v>0</v>
      </c>
      <c r="M2">
        <f>IF(J2-K2&gt;0,1,0)</f>
        <v>1</v>
      </c>
    </row>
    <row r="3" spans="1:13" x14ac:dyDescent="0.35">
      <c r="A3" s="1" t="s">
        <v>3</v>
      </c>
      <c r="B3">
        <v>288596.09392188408</v>
      </c>
      <c r="C3">
        <v>561619.43605390796</v>
      </c>
      <c r="D3">
        <f t="shared" ref="D3:D66" si="0">IF(B3&gt;C3,1,0)</f>
        <v>0</v>
      </c>
      <c r="E3">
        <f t="shared" ref="E3:E66" si="1">C3-B3</f>
        <v>273023.34213202388</v>
      </c>
      <c r="F3">
        <v>253407.70588786481</v>
      </c>
      <c r="G3">
        <v>256576.23794091621</v>
      </c>
      <c r="H3">
        <f t="shared" ref="H3:H66" si="2">IF(F3&lt;G3,1,0)</f>
        <v>1</v>
      </c>
      <c r="I3">
        <f t="shared" ref="I3:I66" si="3">F3-G3</f>
        <v>-3168.5320530514</v>
      </c>
      <c r="J3">
        <f t="shared" ref="J3:J66" si="4">B3+G3</f>
        <v>545172.33186280029</v>
      </c>
      <c r="K3">
        <f t="shared" ref="K3:K66" si="5">C3+F3</f>
        <v>815027.14194177277</v>
      </c>
      <c r="L3">
        <f t="shared" ref="L3:L66" si="6">IF(K3-J3&gt;0,1,0)</f>
        <v>1</v>
      </c>
      <c r="M3">
        <f t="shared" ref="M3:M66" si="7">IF(J3-K3&gt;0,1,0)</f>
        <v>0</v>
      </c>
    </row>
    <row r="4" spans="1:13" x14ac:dyDescent="0.35">
      <c r="A4" s="1" t="s">
        <v>4</v>
      </c>
      <c r="B4">
        <v>515008.82366539323</v>
      </c>
      <c r="C4">
        <v>71392.219002427853</v>
      </c>
      <c r="D4">
        <f t="shared" si="0"/>
        <v>1</v>
      </c>
      <c r="E4">
        <f t="shared" si="1"/>
        <v>-443616.6046629654</v>
      </c>
      <c r="F4">
        <v>67101.278304915919</v>
      </c>
      <c r="G4">
        <v>319016.5728998626</v>
      </c>
      <c r="H4">
        <f t="shared" si="2"/>
        <v>1</v>
      </c>
      <c r="I4">
        <f t="shared" si="3"/>
        <v>-251915.29459494667</v>
      </c>
      <c r="J4">
        <f t="shared" si="4"/>
        <v>834025.39656525583</v>
      </c>
      <c r="K4">
        <f t="shared" si="5"/>
        <v>138493.49730734376</v>
      </c>
      <c r="L4">
        <f t="shared" si="6"/>
        <v>0</v>
      </c>
      <c r="M4">
        <f t="shared" si="7"/>
        <v>1</v>
      </c>
    </row>
    <row r="5" spans="1:13" x14ac:dyDescent="0.35">
      <c r="A5" s="1" t="s">
        <v>5</v>
      </c>
      <c r="B5">
        <v>54107.956949047053</v>
      </c>
      <c r="C5">
        <v>73074.513485675066</v>
      </c>
      <c r="D5">
        <f t="shared" si="0"/>
        <v>0</v>
      </c>
      <c r="E5">
        <f t="shared" si="1"/>
        <v>18966.556536628013</v>
      </c>
      <c r="F5">
        <v>72315.526437792549</v>
      </c>
      <c r="G5">
        <v>37450.378304941893</v>
      </c>
      <c r="H5">
        <f t="shared" si="2"/>
        <v>0</v>
      </c>
      <c r="I5">
        <f t="shared" si="3"/>
        <v>34865.148132850656</v>
      </c>
      <c r="J5">
        <f t="shared" si="4"/>
        <v>91558.335253988946</v>
      </c>
      <c r="K5">
        <f t="shared" si="5"/>
        <v>145390.03992346762</v>
      </c>
      <c r="L5">
        <f t="shared" si="6"/>
        <v>1</v>
      </c>
      <c r="M5">
        <f t="shared" si="7"/>
        <v>0</v>
      </c>
    </row>
    <row r="6" spans="1:13" x14ac:dyDescent="0.35">
      <c r="A6" s="1" t="s">
        <v>6</v>
      </c>
      <c r="B6">
        <v>588464.03080137866</v>
      </c>
      <c r="C6">
        <v>361496.67086435709</v>
      </c>
      <c r="D6">
        <f t="shared" si="0"/>
        <v>1</v>
      </c>
      <c r="E6">
        <f t="shared" si="1"/>
        <v>-226967.35993702157</v>
      </c>
      <c r="F6">
        <v>365281.69871870411</v>
      </c>
      <c r="G6">
        <v>528276.68048271677</v>
      </c>
      <c r="H6">
        <f t="shared" si="2"/>
        <v>1</v>
      </c>
      <c r="I6">
        <f t="shared" si="3"/>
        <v>-162994.98176401266</v>
      </c>
      <c r="J6">
        <f t="shared" si="4"/>
        <v>1116740.7112840954</v>
      </c>
      <c r="K6">
        <f t="shared" si="5"/>
        <v>726778.3695830612</v>
      </c>
      <c r="L6">
        <f t="shared" si="6"/>
        <v>0</v>
      </c>
      <c r="M6">
        <f t="shared" si="7"/>
        <v>1</v>
      </c>
    </row>
    <row r="7" spans="1:13" x14ac:dyDescent="0.35">
      <c r="A7" s="1" t="s">
        <v>7</v>
      </c>
      <c r="B7">
        <v>652370.69035148167</v>
      </c>
      <c r="C7">
        <v>957993.84274718049</v>
      </c>
      <c r="D7">
        <f t="shared" si="0"/>
        <v>0</v>
      </c>
      <c r="E7">
        <f t="shared" si="1"/>
        <v>305623.15239569882</v>
      </c>
      <c r="F7">
        <v>976846.33080184739</v>
      </c>
      <c r="G7">
        <v>651436.1344884499</v>
      </c>
      <c r="H7">
        <f t="shared" si="2"/>
        <v>0</v>
      </c>
      <c r="I7">
        <f t="shared" si="3"/>
        <v>325410.19631339749</v>
      </c>
      <c r="J7">
        <f t="shared" si="4"/>
        <v>1303806.8248399314</v>
      </c>
      <c r="K7">
        <f t="shared" si="5"/>
        <v>1934840.1735490279</v>
      </c>
      <c r="L7">
        <f t="shared" si="6"/>
        <v>1</v>
      </c>
      <c r="M7">
        <f t="shared" si="7"/>
        <v>0</v>
      </c>
    </row>
    <row r="8" spans="1:13" x14ac:dyDescent="0.35">
      <c r="A8" s="1" t="s">
        <v>8</v>
      </c>
      <c r="B8">
        <v>766309.89811909664</v>
      </c>
      <c r="C8">
        <v>822838.66896292171</v>
      </c>
      <c r="D8">
        <f t="shared" si="0"/>
        <v>0</v>
      </c>
      <c r="E8">
        <f t="shared" si="1"/>
        <v>56528.77084382507</v>
      </c>
      <c r="F8">
        <v>941623.60724513826</v>
      </c>
      <c r="G8">
        <v>873680.46979516139</v>
      </c>
      <c r="H8">
        <f t="shared" si="2"/>
        <v>0</v>
      </c>
      <c r="I8">
        <f t="shared" si="3"/>
        <v>67943.137449976872</v>
      </c>
      <c r="J8">
        <f t="shared" si="4"/>
        <v>1639990.367914258</v>
      </c>
      <c r="K8">
        <f t="shared" si="5"/>
        <v>1764462.2762080599</v>
      </c>
      <c r="L8">
        <f t="shared" si="6"/>
        <v>1</v>
      </c>
      <c r="M8">
        <f t="shared" si="7"/>
        <v>0</v>
      </c>
    </row>
    <row r="9" spans="1:13" x14ac:dyDescent="0.35">
      <c r="A9" s="1" t="s">
        <v>9</v>
      </c>
      <c r="B9">
        <v>576828.2737294971</v>
      </c>
      <c r="C9">
        <v>1926.6940203477279</v>
      </c>
      <c r="D9">
        <f t="shared" si="0"/>
        <v>1</v>
      </c>
      <c r="E9">
        <f t="shared" si="1"/>
        <v>-574901.57970914943</v>
      </c>
      <c r="F9">
        <v>110.8635936543948</v>
      </c>
      <c r="G9">
        <v>20492.404459270121</v>
      </c>
      <c r="H9">
        <f t="shared" si="2"/>
        <v>1</v>
      </c>
      <c r="I9">
        <f t="shared" si="3"/>
        <v>-20381.540865615727</v>
      </c>
      <c r="J9">
        <f t="shared" si="4"/>
        <v>597320.67818876717</v>
      </c>
      <c r="K9">
        <f t="shared" si="5"/>
        <v>2037.5576140021228</v>
      </c>
      <c r="L9">
        <f t="shared" si="6"/>
        <v>0</v>
      </c>
      <c r="M9">
        <f t="shared" si="7"/>
        <v>1</v>
      </c>
    </row>
    <row r="10" spans="1:13" x14ac:dyDescent="0.35">
      <c r="A10" s="1" t="s">
        <v>10</v>
      </c>
      <c r="B10">
        <v>557402.5089005325</v>
      </c>
      <c r="C10">
        <v>16855.247587287049</v>
      </c>
      <c r="D10">
        <f t="shared" si="0"/>
        <v>1</v>
      </c>
      <c r="E10">
        <f t="shared" si="1"/>
        <v>-540547.2613132454</v>
      </c>
      <c r="F10">
        <v>5242.5406341609478</v>
      </c>
      <c r="G10">
        <v>155588.32951527121</v>
      </c>
      <c r="H10">
        <f t="shared" si="2"/>
        <v>1</v>
      </c>
      <c r="I10">
        <f t="shared" si="3"/>
        <v>-150345.78888111026</v>
      </c>
      <c r="J10">
        <f t="shared" si="4"/>
        <v>712990.83841580374</v>
      </c>
      <c r="K10">
        <f t="shared" si="5"/>
        <v>22097.788221447998</v>
      </c>
      <c r="L10">
        <f t="shared" si="6"/>
        <v>0</v>
      </c>
      <c r="M10">
        <f t="shared" si="7"/>
        <v>1</v>
      </c>
    </row>
    <row r="11" spans="1:13" x14ac:dyDescent="0.35">
      <c r="A11" s="1" t="s">
        <v>11</v>
      </c>
      <c r="B11">
        <v>418114.87116775481</v>
      </c>
      <c r="C11">
        <v>394559.45056981122</v>
      </c>
      <c r="D11">
        <f t="shared" si="0"/>
        <v>1</v>
      </c>
      <c r="E11">
        <f t="shared" si="1"/>
        <v>-23555.420597943594</v>
      </c>
      <c r="F11">
        <v>389389.51890973002</v>
      </c>
      <c r="G11">
        <v>312340.03266280412</v>
      </c>
      <c r="H11">
        <f t="shared" si="2"/>
        <v>0</v>
      </c>
      <c r="I11">
        <f t="shared" si="3"/>
        <v>77049.486246925895</v>
      </c>
      <c r="J11">
        <f t="shared" si="4"/>
        <v>730454.90383055899</v>
      </c>
      <c r="K11">
        <f t="shared" si="5"/>
        <v>783948.96947954129</v>
      </c>
      <c r="L11">
        <f t="shared" si="6"/>
        <v>1</v>
      </c>
      <c r="M11">
        <f t="shared" si="7"/>
        <v>0</v>
      </c>
    </row>
    <row r="12" spans="1:13" x14ac:dyDescent="0.35">
      <c r="A12" s="1" t="s">
        <v>12</v>
      </c>
      <c r="B12">
        <v>676342.64546074974</v>
      </c>
      <c r="C12">
        <v>691394.56334764883</v>
      </c>
      <c r="D12">
        <f t="shared" si="0"/>
        <v>0</v>
      </c>
      <c r="E12">
        <f t="shared" si="1"/>
        <v>15051.917886899086</v>
      </c>
      <c r="F12">
        <v>708026.6596715902</v>
      </c>
      <c r="G12">
        <v>691199.71720739489</v>
      </c>
      <c r="H12">
        <f t="shared" si="2"/>
        <v>0</v>
      </c>
      <c r="I12">
        <f t="shared" si="3"/>
        <v>16826.942464195308</v>
      </c>
      <c r="J12">
        <f t="shared" si="4"/>
        <v>1367542.3626681445</v>
      </c>
      <c r="K12">
        <f t="shared" si="5"/>
        <v>1399421.223019239</v>
      </c>
      <c r="L12">
        <f t="shared" si="6"/>
        <v>1</v>
      </c>
      <c r="M12">
        <f t="shared" si="7"/>
        <v>0</v>
      </c>
    </row>
    <row r="13" spans="1:13" x14ac:dyDescent="0.35">
      <c r="A13" s="1" t="s">
        <v>13</v>
      </c>
      <c r="B13">
        <v>483901.81552299683</v>
      </c>
      <c r="C13">
        <v>436661.51444079098</v>
      </c>
      <c r="D13">
        <f t="shared" si="0"/>
        <v>1</v>
      </c>
      <c r="E13">
        <f t="shared" si="1"/>
        <v>-47240.301082205842</v>
      </c>
      <c r="F13">
        <v>438192.16133083601</v>
      </c>
      <c r="G13">
        <v>443377.21201446402</v>
      </c>
      <c r="H13">
        <f t="shared" si="2"/>
        <v>1</v>
      </c>
      <c r="I13">
        <f t="shared" si="3"/>
        <v>-5185.050683628011</v>
      </c>
      <c r="J13">
        <f t="shared" si="4"/>
        <v>927279.0275374609</v>
      </c>
      <c r="K13">
        <f t="shared" si="5"/>
        <v>874853.67577162699</v>
      </c>
      <c r="L13">
        <f t="shared" si="6"/>
        <v>0</v>
      </c>
      <c r="M13">
        <f t="shared" si="7"/>
        <v>1</v>
      </c>
    </row>
    <row r="14" spans="1:13" x14ac:dyDescent="0.35">
      <c r="A14" s="1" t="s">
        <v>14</v>
      </c>
      <c r="B14">
        <v>590469.8986415728</v>
      </c>
      <c r="C14">
        <v>447681.11777611228</v>
      </c>
      <c r="D14">
        <f t="shared" si="0"/>
        <v>1</v>
      </c>
      <c r="E14">
        <f t="shared" si="1"/>
        <v>-142788.78086546052</v>
      </c>
      <c r="F14">
        <v>463439.7909571614</v>
      </c>
      <c r="G14">
        <v>742574.19653677056</v>
      </c>
      <c r="H14">
        <f t="shared" si="2"/>
        <v>1</v>
      </c>
      <c r="I14">
        <f t="shared" si="3"/>
        <v>-279134.40557960916</v>
      </c>
      <c r="J14">
        <f t="shared" si="4"/>
        <v>1333044.0951783434</v>
      </c>
      <c r="K14">
        <f t="shared" si="5"/>
        <v>911120.90873327362</v>
      </c>
      <c r="L14">
        <f t="shared" si="6"/>
        <v>0</v>
      </c>
      <c r="M14">
        <f t="shared" si="7"/>
        <v>1</v>
      </c>
    </row>
    <row r="15" spans="1:13" x14ac:dyDescent="0.35">
      <c r="A15" s="1" t="s">
        <v>15</v>
      </c>
      <c r="B15">
        <v>411299.01126160228</v>
      </c>
      <c r="C15">
        <v>1465.6109689467939</v>
      </c>
      <c r="D15">
        <f t="shared" si="0"/>
        <v>1</v>
      </c>
      <c r="E15">
        <f t="shared" si="1"/>
        <v>-409833.40029265551</v>
      </c>
      <c r="F15">
        <v>66.114288729847004</v>
      </c>
      <c r="G15">
        <v>14632.818271590289</v>
      </c>
      <c r="H15">
        <f t="shared" si="2"/>
        <v>1</v>
      </c>
      <c r="I15">
        <f t="shared" si="3"/>
        <v>-14566.703982860443</v>
      </c>
      <c r="J15">
        <f t="shared" si="4"/>
        <v>425931.82953319256</v>
      </c>
      <c r="K15">
        <f t="shared" si="5"/>
        <v>1531.7252576766409</v>
      </c>
      <c r="L15">
        <f t="shared" si="6"/>
        <v>0</v>
      </c>
      <c r="M15">
        <f t="shared" si="7"/>
        <v>1</v>
      </c>
    </row>
    <row r="16" spans="1:13" x14ac:dyDescent="0.35">
      <c r="A16" s="1" t="s">
        <v>16</v>
      </c>
      <c r="B16">
        <v>815940.52478102921</v>
      </c>
      <c r="C16">
        <v>930615.21945453214</v>
      </c>
      <c r="D16">
        <f t="shared" si="0"/>
        <v>0</v>
      </c>
      <c r="E16">
        <f t="shared" si="1"/>
        <v>114674.69467350293</v>
      </c>
      <c r="F16">
        <v>982886.0365836313</v>
      </c>
      <c r="G16">
        <v>806221.85034950159</v>
      </c>
      <c r="H16">
        <f t="shared" si="2"/>
        <v>0</v>
      </c>
      <c r="I16">
        <f t="shared" si="3"/>
        <v>176664.18623412971</v>
      </c>
      <c r="J16">
        <f t="shared" si="4"/>
        <v>1622162.3751305309</v>
      </c>
      <c r="K16">
        <f t="shared" si="5"/>
        <v>1913501.2560381633</v>
      </c>
      <c r="L16">
        <f t="shared" si="6"/>
        <v>1</v>
      </c>
      <c r="M16">
        <f t="shared" si="7"/>
        <v>0</v>
      </c>
    </row>
    <row r="17" spans="1:13" x14ac:dyDescent="0.35">
      <c r="A17" s="1" t="s">
        <v>17</v>
      </c>
      <c r="B17">
        <v>744762.19093827298</v>
      </c>
      <c r="C17">
        <v>815140.80694255768</v>
      </c>
      <c r="D17">
        <f t="shared" si="0"/>
        <v>0</v>
      </c>
      <c r="E17">
        <f t="shared" si="1"/>
        <v>70378.616004284704</v>
      </c>
      <c r="F17">
        <v>838717.25790734228</v>
      </c>
      <c r="G17">
        <v>747264.47704122192</v>
      </c>
      <c r="H17">
        <f t="shared" si="2"/>
        <v>0</v>
      </c>
      <c r="I17">
        <f t="shared" si="3"/>
        <v>91452.78086612036</v>
      </c>
      <c r="J17">
        <f t="shared" si="4"/>
        <v>1492026.6679794949</v>
      </c>
      <c r="K17">
        <f t="shared" si="5"/>
        <v>1653858.0648499001</v>
      </c>
      <c r="L17">
        <f t="shared" si="6"/>
        <v>1</v>
      </c>
      <c r="M17">
        <f t="shared" si="7"/>
        <v>0</v>
      </c>
    </row>
    <row r="18" spans="1:13" x14ac:dyDescent="0.35">
      <c r="A18" s="1" t="s">
        <v>18</v>
      </c>
      <c r="B18">
        <v>599491.00550844078</v>
      </c>
      <c r="C18">
        <v>504178.57837717101</v>
      </c>
      <c r="D18">
        <f t="shared" si="0"/>
        <v>1</v>
      </c>
      <c r="E18">
        <f t="shared" si="1"/>
        <v>-95312.427131269767</v>
      </c>
      <c r="F18">
        <v>490635.78055888199</v>
      </c>
      <c r="G18">
        <v>629154.64319948328</v>
      </c>
      <c r="H18">
        <f t="shared" si="2"/>
        <v>1</v>
      </c>
      <c r="I18">
        <f t="shared" si="3"/>
        <v>-138518.86264060129</v>
      </c>
      <c r="J18">
        <f t="shared" si="4"/>
        <v>1228645.6487079239</v>
      </c>
      <c r="K18">
        <f t="shared" si="5"/>
        <v>994814.358936053</v>
      </c>
      <c r="L18">
        <f t="shared" si="6"/>
        <v>0</v>
      </c>
      <c r="M18">
        <f t="shared" si="7"/>
        <v>1</v>
      </c>
    </row>
    <row r="19" spans="1:13" x14ac:dyDescent="0.35">
      <c r="A19" s="1" t="s">
        <v>19</v>
      </c>
      <c r="B19">
        <v>349642.17470720288</v>
      </c>
      <c r="C19">
        <v>446950.0246859098</v>
      </c>
      <c r="D19">
        <f t="shared" si="0"/>
        <v>0</v>
      </c>
      <c r="E19">
        <f t="shared" si="1"/>
        <v>97307.849978706916</v>
      </c>
      <c r="F19">
        <v>472534.39298602159</v>
      </c>
      <c r="G19">
        <v>350247.07156112941</v>
      </c>
      <c r="H19">
        <f t="shared" si="2"/>
        <v>0</v>
      </c>
      <c r="I19">
        <f t="shared" si="3"/>
        <v>122287.32142489217</v>
      </c>
      <c r="J19">
        <f t="shared" si="4"/>
        <v>699889.24626833224</v>
      </c>
      <c r="K19">
        <f t="shared" si="5"/>
        <v>919484.41767193144</v>
      </c>
      <c r="L19">
        <f t="shared" si="6"/>
        <v>1</v>
      </c>
      <c r="M19">
        <f t="shared" si="7"/>
        <v>0</v>
      </c>
    </row>
    <row r="20" spans="1:13" x14ac:dyDescent="0.35">
      <c r="A20" s="1" t="s">
        <v>20</v>
      </c>
      <c r="B20">
        <v>455579.54723612138</v>
      </c>
      <c r="C20">
        <v>15978.340358341989</v>
      </c>
      <c r="D20">
        <f t="shared" si="0"/>
        <v>1</v>
      </c>
      <c r="E20">
        <f t="shared" si="1"/>
        <v>-439601.20687777939</v>
      </c>
      <c r="F20">
        <v>4060.5589798177821</v>
      </c>
      <c r="G20">
        <v>97972.812655932794</v>
      </c>
      <c r="H20">
        <f t="shared" si="2"/>
        <v>1</v>
      </c>
      <c r="I20">
        <f t="shared" si="3"/>
        <v>-93912.253676115011</v>
      </c>
      <c r="J20">
        <f t="shared" si="4"/>
        <v>553552.35989205423</v>
      </c>
      <c r="K20">
        <f t="shared" si="5"/>
        <v>20038.899338159772</v>
      </c>
      <c r="L20">
        <f t="shared" si="6"/>
        <v>0</v>
      </c>
      <c r="M20">
        <f t="shared" si="7"/>
        <v>1</v>
      </c>
    </row>
    <row r="21" spans="1:13" x14ac:dyDescent="0.35">
      <c r="A21" s="1" t="s">
        <v>21</v>
      </c>
      <c r="B21">
        <v>473806.60606884718</v>
      </c>
      <c r="C21">
        <v>754903.4884776494</v>
      </c>
      <c r="D21">
        <f t="shared" si="0"/>
        <v>0</v>
      </c>
      <c r="E21">
        <f t="shared" si="1"/>
        <v>281096.88240880222</v>
      </c>
      <c r="F21">
        <v>473035.38560469559</v>
      </c>
      <c r="G21">
        <v>565361.42381367134</v>
      </c>
      <c r="H21">
        <f t="shared" si="2"/>
        <v>1</v>
      </c>
      <c r="I21">
        <f t="shared" si="3"/>
        <v>-92326.038208975748</v>
      </c>
      <c r="J21">
        <f t="shared" si="4"/>
        <v>1039168.0298825186</v>
      </c>
      <c r="K21">
        <f t="shared" si="5"/>
        <v>1227938.874082345</v>
      </c>
      <c r="L21">
        <f t="shared" si="6"/>
        <v>1</v>
      </c>
      <c r="M21">
        <f t="shared" si="7"/>
        <v>0</v>
      </c>
    </row>
    <row r="22" spans="1:13" x14ac:dyDescent="0.35">
      <c r="A22" s="1" t="s">
        <v>22</v>
      </c>
      <c r="B22">
        <v>633822.85627314425</v>
      </c>
      <c r="C22">
        <v>537950.48074678425</v>
      </c>
      <c r="D22">
        <f t="shared" si="0"/>
        <v>1</v>
      </c>
      <c r="E22">
        <f t="shared" si="1"/>
        <v>-95872.375526360003</v>
      </c>
      <c r="F22">
        <v>538129.47841078695</v>
      </c>
      <c r="G22">
        <v>602334.82466813806</v>
      </c>
      <c r="H22">
        <f t="shared" si="2"/>
        <v>1</v>
      </c>
      <c r="I22">
        <f t="shared" si="3"/>
        <v>-64205.346257351106</v>
      </c>
      <c r="J22">
        <f t="shared" si="4"/>
        <v>1236157.6809412823</v>
      </c>
      <c r="K22">
        <f t="shared" si="5"/>
        <v>1076079.9591575712</v>
      </c>
      <c r="L22">
        <f t="shared" si="6"/>
        <v>0</v>
      </c>
      <c r="M22">
        <f t="shared" si="7"/>
        <v>1</v>
      </c>
    </row>
    <row r="23" spans="1:13" x14ac:dyDescent="0.35">
      <c r="A23" s="1" t="s">
        <v>23</v>
      </c>
      <c r="B23">
        <v>187064.69850613049</v>
      </c>
      <c r="C23">
        <v>8476.4689398259325</v>
      </c>
      <c r="D23">
        <f t="shared" si="0"/>
        <v>1</v>
      </c>
      <c r="E23">
        <f t="shared" si="1"/>
        <v>-178588.22956630457</v>
      </c>
      <c r="F23">
        <v>3689.5901467312001</v>
      </c>
      <c r="G23">
        <v>148164.43749647291</v>
      </c>
      <c r="H23">
        <f t="shared" si="2"/>
        <v>1</v>
      </c>
      <c r="I23">
        <f t="shared" si="3"/>
        <v>-144474.8473497417</v>
      </c>
      <c r="J23">
        <f t="shared" si="4"/>
        <v>335229.13600260339</v>
      </c>
      <c r="K23">
        <f t="shared" si="5"/>
        <v>12166.059086557132</v>
      </c>
      <c r="L23">
        <f t="shared" si="6"/>
        <v>0</v>
      </c>
      <c r="M23">
        <f t="shared" si="7"/>
        <v>1</v>
      </c>
    </row>
    <row r="24" spans="1:13" x14ac:dyDescent="0.35">
      <c r="A24" s="1" t="s">
        <v>24</v>
      </c>
      <c r="B24">
        <v>262360.39970304619</v>
      </c>
      <c r="C24">
        <v>394038.62787249981</v>
      </c>
      <c r="D24">
        <f t="shared" si="0"/>
        <v>0</v>
      </c>
      <c r="E24">
        <f t="shared" si="1"/>
        <v>131678.22816945362</v>
      </c>
      <c r="F24">
        <v>393190.06808590662</v>
      </c>
      <c r="G24">
        <v>246635.41198824139</v>
      </c>
      <c r="H24">
        <f t="shared" si="2"/>
        <v>0</v>
      </c>
      <c r="I24">
        <f t="shared" si="3"/>
        <v>146554.65609766523</v>
      </c>
      <c r="J24">
        <f t="shared" si="4"/>
        <v>508995.81169128756</v>
      </c>
      <c r="K24">
        <f t="shared" si="5"/>
        <v>787228.69595840643</v>
      </c>
      <c r="L24">
        <f t="shared" si="6"/>
        <v>1</v>
      </c>
      <c r="M24">
        <f t="shared" si="7"/>
        <v>0</v>
      </c>
    </row>
    <row r="25" spans="1:13" x14ac:dyDescent="0.35">
      <c r="A25" s="1" t="s">
        <v>25</v>
      </c>
      <c r="B25">
        <v>695851.29721818003</v>
      </c>
      <c r="C25">
        <v>456340.2502684762</v>
      </c>
      <c r="D25">
        <f t="shared" si="0"/>
        <v>1</v>
      </c>
      <c r="E25">
        <f t="shared" si="1"/>
        <v>-239511.04694970383</v>
      </c>
      <c r="F25">
        <v>439782.74101677869</v>
      </c>
      <c r="G25">
        <v>631241.72359765135</v>
      </c>
      <c r="H25">
        <f t="shared" si="2"/>
        <v>1</v>
      </c>
      <c r="I25">
        <f t="shared" si="3"/>
        <v>-191458.98258087266</v>
      </c>
      <c r="J25">
        <f t="shared" si="4"/>
        <v>1327093.0208158314</v>
      </c>
      <c r="K25">
        <f t="shared" si="5"/>
        <v>896122.99128525495</v>
      </c>
      <c r="L25">
        <f t="shared" si="6"/>
        <v>0</v>
      </c>
      <c r="M25">
        <f t="shared" si="7"/>
        <v>1</v>
      </c>
    </row>
    <row r="26" spans="1:13" x14ac:dyDescent="0.35">
      <c r="A26" s="1" t="s">
        <v>26</v>
      </c>
      <c r="B26">
        <v>834899.14670851524</v>
      </c>
      <c r="C26">
        <v>552700.7834301024</v>
      </c>
      <c r="D26">
        <f t="shared" si="0"/>
        <v>1</v>
      </c>
      <c r="E26">
        <f t="shared" si="1"/>
        <v>-282198.36327841284</v>
      </c>
      <c r="F26">
        <v>569328.19945976837</v>
      </c>
      <c r="G26">
        <v>779124.84149523568</v>
      </c>
      <c r="H26">
        <f t="shared" si="2"/>
        <v>1</v>
      </c>
      <c r="I26">
        <f t="shared" si="3"/>
        <v>-209796.64203546732</v>
      </c>
      <c r="J26">
        <f t="shared" si="4"/>
        <v>1614023.9882037509</v>
      </c>
      <c r="K26">
        <f t="shared" si="5"/>
        <v>1122028.9828898706</v>
      </c>
      <c r="L26">
        <f t="shared" si="6"/>
        <v>0</v>
      </c>
      <c r="M26">
        <f t="shared" si="7"/>
        <v>1</v>
      </c>
    </row>
    <row r="27" spans="1:13" x14ac:dyDescent="0.35">
      <c r="A27" s="1" t="s">
        <v>27</v>
      </c>
      <c r="B27">
        <v>822635.5575646495</v>
      </c>
      <c r="C27">
        <v>958127.89337295725</v>
      </c>
      <c r="D27">
        <f t="shared" si="0"/>
        <v>0</v>
      </c>
      <c r="E27">
        <f t="shared" si="1"/>
        <v>135492.33580830775</v>
      </c>
      <c r="F27">
        <v>1015955.008600613</v>
      </c>
      <c r="G27">
        <v>825553.07450261642</v>
      </c>
      <c r="H27">
        <f t="shared" si="2"/>
        <v>0</v>
      </c>
      <c r="I27">
        <f t="shared" si="3"/>
        <v>190401.93409799656</v>
      </c>
      <c r="J27">
        <f t="shared" si="4"/>
        <v>1648188.6320672659</v>
      </c>
      <c r="K27">
        <f t="shared" si="5"/>
        <v>1974082.9019735702</v>
      </c>
      <c r="L27">
        <f t="shared" si="6"/>
        <v>1</v>
      </c>
      <c r="M27">
        <f t="shared" si="7"/>
        <v>0</v>
      </c>
    </row>
    <row r="28" spans="1:13" x14ac:dyDescent="0.35">
      <c r="A28" s="1" t="s">
        <v>28</v>
      </c>
      <c r="B28">
        <v>337038.32521881833</v>
      </c>
      <c r="C28">
        <v>229503.38730869989</v>
      </c>
      <c r="D28">
        <f t="shared" si="0"/>
        <v>1</v>
      </c>
      <c r="E28">
        <f t="shared" si="1"/>
        <v>-107534.93791011843</v>
      </c>
      <c r="F28">
        <v>143501.78324266971</v>
      </c>
      <c r="G28">
        <v>138641.23812506901</v>
      </c>
      <c r="H28">
        <f t="shared" si="2"/>
        <v>0</v>
      </c>
      <c r="I28">
        <f t="shared" si="3"/>
        <v>4860.5451176007045</v>
      </c>
      <c r="J28">
        <f t="shared" si="4"/>
        <v>475679.56334388733</v>
      </c>
      <c r="K28">
        <f t="shared" si="5"/>
        <v>373005.17055136961</v>
      </c>
      <c r="L28">
        <f t="shared" si="6"/>
        <v>0</v>
      </c>
      <c r="M28">
        <f t="shared" si="7"/>
        <v>1</v>
      </c>
    </row>
    <row r="29" spans="1:13" x14ac:dyDescent="0.35">
      <c r="A29" s="1" t="s">
        <v>29</v>
      </c>
      <c r="B29">
        <v>234497.17615449941</v>
      </c>
      <c r="C29">
        <v>19681.24883762329</v>
      </c>
      <c r="D29">
        <f t="shared" si="0"/>
        <v>1</v>
      </c>
      <c r="E29">
        <f t="shared" si="1"/>
        <v>-214815.92731687613</v>
      </c>
      <c r="F29">
        <v>7649.9839146234081</v>
      </c>
      <c r="G29">
        <v>76023.941450298997</v>
      </c>
      <c r="H29">
        <f t="shared" si="2"/>
        <v>1</v>
      </c>
      <c r="I29">
        <f t="shared" si="3"/>
        <v>-68373.957535675581</v>
      </c>
      <c r="J29">
        <f t="shared" si="4"/>
        <v>310521.1176047984</v>
      </c>
      <c r="K29">
        <f t="shared" si="5"/>
        <v>27331.232752246699</v>
      </c>
      <c r="L29">
        <f t="shared" si="6"/>
        <v>0</v>
      </c>
      <c r="M29">
        <f t="shared" si="7"/>
        <v>1</v>
      </c>
    </row>
    <row r="30" spans="1:13" x14ac:dyDescent="0.35">
      <c r="A30" s="1" t="s">
        <v>30</v>
      </c>
      <c r="B30">
        <v>567201.20438131969</v>
      </c>
      <c r="C30">
        <v>208.1729593652299</v>
      </c>
      <c r="D30">
        <f t="shared" si="0"/>
        <v>1</v>
      </c>
      <c r="E30">
        <f t="shared" si="1"/>
        <v>-566993.03142195451</v>
      </c>
      <c r="F30">
        <v>5.1395915665466037</v>
      </c>
      <c r="G30">
        <v>3906.8785641011618</v>
      </c>
      <c r="H30">
        <f t="shared" si="2"/>
        <v>1</v>
      </c>
      <c r="I30">
        <f t="shared" si="3"/>
        <v>-3901.7389725346152</v>
      </c>
      <c r="J30">
        <f t="shared" si="4"/>
        <v>571108.08294542087</v>
      </c>
      <c r="K30">
        <f t="shared" si="5"/>
        <v>213.31255093177651</v>
      </c>
      <c r="L30">
        <f t="shared" si="6"/>
        <v>0</v>
      </c>
      <c r="M30">
        <f t="shared" si="7"/>
        <v>1</v>
      </c>
    </row>
    <row r="31" spans="1:13" x14ac:dyDescent="0.35">
      <c r="A31" s="1" t="s">
        <v>31</v>
      </c>
      <c r="B31">
        <v>1335149.588878874</v>
      </c>
      <c r="C31">
        <v>444956.85629769712</v>
      </c>
      <c r="D31">
        <f t="shared" si="0"/>
        <v>1</v>
      </c>
      <c r="E31">
        <f t="shared" si="1"/>
        <v>-890192.7325811768</v>
      </c>
      <c r="F31">
        <v>443586.64922962239</v>
      </c>
      <c r="G31">
        <v>972804.0009543139</v>
      </c>
      <c r="H31">
        <f t="shared" si="2"/>
        <v>1</v>
      </c>
      <c r="I31">
        <f t="shared" si="3"/>
        <v>-529217.35172469146</v>
      </c>
      <c r="J31">
        <f t="shared" si="4"/>
        <v>2307953.5898331879</v>
      </c>
      <c r="K31">
        <f t="shared" si="5"/>
        <v>888543.5055273195</v>
      </c>
      <c r="L31">
        <f t="shared" si="6"/>
        <v>0</v>
      </c>
      <c r="M31">
        <f t="shared" si="7"/>
        <v>1</v>
      </c>
    </row>
    <row r="32" spans="1:13" x14ac:dyDescent="0.35">
      <c r="A32" s="1" t="s">
        <v>32</v>
      </c>
      <c r="B32">
        <v>537076.401101814</v>
      </c>
      <c r="C32">
        <v>39614.298438955047</v>
      </c>
      <c r="D32">
        <f t="shared" si="0"/>
        <v>1</v>
      </c>
      <c r="E32">
        <f t="shared" si="1"/>
        <v>-497462.10266285896</v>
      </c>
      <c r="F32">
        <v>23636.987092333358</v>
      </c>
      <c r="G32">
        <v>178584.68986829111</v>
      </c>
      <c r="H32">
        <f t="shared" si="2"/>
        <v>1</v>
      </c>
      <c r="I32">
        <f t="shared" si="3"/>
        <v>-154947.70277595776</v>
      </c>
      <c r="J32">
        <f t="shared" si="4"/>
        <v>715661.09097010514</v>
      </c>
      <c r="K32">
        <f t="shared" si="5"/>
        <v>63251.285531288406</v>
      </c>
      <c r="L32">
        <f t="shared" si="6"/>
        <v>0</v>
      </c>
      <c r="M32">
        <f t="shared" si="7"/>
        <v>1</v>
      </c>
    </row>
    <row r="33" spans="1:13" x14ac:dyDescent="0.35">
      <c r="A33" s="1" t="s">
        <v>33</v>
      </c>
      <c r="B33">
        <v>216347.89517474009</v>
      </c>
      <c r="C33">
        <v>11880.571475888801</v>
      </c>
      <c r="D33">
        <f t="shared" si="0"/>
        <v>1</v>
      </c>
      <c r="E33">
        <f t="shared" si="1"/>
        <v>-204467.32369885128</v>
      </c>
      <c r="F33">
        <v>7425.3565107681352</v>
      </c>
      <c r="G33">
        <v>93473.249584367557</v>
      </c>
      <c r="H33">
        <f t="shared" si="2"/>
        <v>1</v>
      </c>
      <c r="I33">
        <f t="shared" si="3"/>
        <v>-86047.893073599422</v>
      </c>
      <c r="J33">
        <f t="shared" si="4"/>
        <v>309821.14475910761</v>
      </c>
      <c r="K33">
        <f t="shared" si="5"/>
        <v>19305.927986656934</v>
      </c>
      <c r="L33">
        <f t="shared" si="6"/>
        <v>0</v>
      </c>
      <c r="M33">
        <f t="shared" si="7"/>
        <v>1</v>
      </c>
    </row>
    <row r="34" spans="1:13" x14ac:dyDescent="0.35">
      <c r="A34" s="1" t="s">
        <v>34</v>
      </c>
      <c r="B34">
        <v>603490.3045480682</v>
      </c>
      <c r="C34">
        <v>901089.74012551806</v>
      </c>
      <c r="D34">
        <f t="shared" si="0"/>
        <v>0</v>
      </c>
      <c r="E34">
        <f t="shared" si="1"/>
        <v>297599.43557744985</v>
      </c>
      <c r="F34">
        <v>898837.74542306026</v>
      </c>
      <c r="G34">
        <v>591030.73266947863</v>
      </c>
      <c r="H34">
        <f t="shared" si="2"/>
        <v>0</v>
      </c>
      <c r="I34">
        <f t="shared" si="3"/>
        <v>307807.01275358163</v>
      </c>
      <c r="J34">
        <f t="shared" si="4"/>
        <v>1194521.0372175467</v>
      </c>
      <c r="K34">
        <f t="shared" si="5"/>
        <v>1799927.4855485782</v>
      </c>
      <c r="L34">
        <f t="shared" si="6"/>
        <v>1</v>
      </c>
      <c r="M34">
        <f t="shared" si="7"/>
        <v>0</v>
      </c>
    </row>
    <row r="35" spans="1:13" x14ac:dyDescent="0.35">
      <c r="A35" s="1" t="s">
        <v>35</v>
      </c>
      <c r="B35">
        <v>343825.63302137877</v>
      </c>
      <c r="C35">
        <v>141533.6680928866</v>
      </c>
      <c r="D35">
        <f t="shared" si="0"/>
        <v>1</v>
      </c>
      <c r="E35">
        <f t="shared" si="1"/>
        <v>-202291.96492849218</v>
      </c>
      <c r="F35">
        <v>138812.79705036551</v>
      </c>
      <c r="G35">
        <v>314083.43132687901</v>
      </c>
      <c r="H35">
        <f t="shared" si="2"/>
        <v>1</v>
      </c>
      <c r="I35">
        <f t="shared" si="3"/>
        <v>-175270.63427651351</v>
      </c>
      <c r="J35">
        <f t="shared" si="4"/>
        <v>657909.06434825785</v>
      </c>
      <c r="K35">
        <f t="shared" si="5"/>
        <v>280346.46514325211</v>
      </c>
      <c r="L35">
        <f t="shared" si="6"/>
        <v>0</v>
      </c>
      <c r="M35">
        <f t="shared" si="7"/>
        <v>1</v>
      </c>
    </row>
    <row r="36" spans="1:13" x14ac:dyDescent="0.35">
      <c r="A36" s="1" t="s">
        <v>36</v>
      </c>
      <c r="B36">
        <v>469183.57252379431</v>
      </c>
      <c r="C36">
        <v>247546.26253068139</v>
      </c>
      <c r="D36">
        <f t="shared" si="0"/>
        <v>1</v>
      </c>
      <c r="E36">
        <f t="shared" si="1"/>
        <v>-221637.30999311293</v>
      </c>
      <c r="F36">
        <v>55946.694578618553</v>
      </c>
      <c r="G36">
        <v>60926.932589945412</v>
      </c>
      <c r="H36">
        <f t="shared" si="2"/>
        <v>1</v>
      </c>
      <c r="I36">
        <f t="shared" si="3"/>
        <v>-4980.2380113268591</v>
      </c>
      <c r="J36">
        <f t="shared" si="4"/>
        <v>530110.50511373975</v>
      </c>
      <c r="K36">
        <f t="shared" si="5"/>
        <v>303492.95710929995</v>
      </c>
      <c r="L36">
        <f t="shared" si="6"/>
        <v>0</v>
      </c>
      <c r="M36">
        <f t="shared" si="7"/>
        <v>1</v>
      </c>
    </row>
    <row r="37" spans="1:13" x14ac:dyDescent="0.35">
      <c r="A37" s="1" t="s">
        <v>37</v>
      </c>
      <c r="B37">
        <v>556108.65881412732</v>
      </c>
      <c r="C37">
        <v>658000.37507454189</v>
      </c>
      <c r="D37">
        <f t="shared" si="0"/>
        <v>0</v>
      </c>
      <c r="E37">
        <f t="shared" si="1"/>
        <v>101891.71626041457</v>
      </c>
      <c r="F37">
        <v>686151.27444085083</v>
      </c>
      <c r="G37">
        <v>557113.62207052554</v>
      </c>
      <c r="H37">
        <f t="shared" si="2"/>
        <v>0</v>
      </c>
      <c r="I37">
        <f t="shared" si="3"/>
        <v>129037.65237032529</v>
      </c>
      <c r="J37">
        <f t="shared" si="4"/>
        <v>1113222.2808846529</v>
      </c>
      <c r="K37">
        <f t="shared" si="5"/>
        <v>1344151.6495153927</v>
      </c>
      <c r="L37">
        <f t="shared" si="6"/>
        <v>1</v>
      </c>
      <c r="M37">
        <f t="shared" si="7"/>
        <v>0</v>
      </c>
    </row>
    <row r="38" spans="1:13" x14ac:dyDescent="0.35">
      <c r="A38" s="1" t="s">
        <v>38</v>
      </c>
      <c r="B38">
        <v>446148.82851592288</v>
      </c>
      <c r="C38">
        <v>320615.6885930745</v>
      </c>
      <c r="D38">
        <f t="shared" si="0"/>
        <v>1</v>
      </c>
      <c r="E38">
        <f t="shared" si="1"/>
        <v>-125533.13992284838</v>
      </c>
      <c r="F38">
        <v>309095.70341646101</v>
      </c>
      <c r="G38">
        <v>450077.93258294702</v>
      </c>
      <c r="H38">
        <f t="shared" si="2"/>
        <v>1</v>
      </c>
      <c r="I38">
        <f t="shared" si="3"/>
        <v>-140982.22916648601</v>
      </c>
      <c r="J38">
        <f t="shared" si="4"/>
        <v>896226.76109886984</v>
      </c>
      <c r="K38">
        <f t="shared" si="5"/>
        <v>629711.39200953557</v>
      </c>
      <c r="L38">
        <f t="shared" si="6"/>
        <v>0</v>
      </c>
      <c r="M38">
        <f t="shared" si="7"/>
        <v>1</v>
      </c>
    </row>
    <row r="39" spans="1:13" x14ac:dyDescent="0.35">
      <c r="A39" s="1" t="s">
        <v>39</v>
      </c>
      <c r="B39">
        <v>509973.59008472762</v>
      </c>
      <c r="C39">
        <v>220597.11732963019</v>
      </c>
      <c r="D39">
        <f t="shared" si="0"/>
        <v>1</v>
      </c>
      <c r="E39">
        <f t="shared" si="1"/>
        <v>-289376.47275509743</v>
      </c>
      <c r="F39">
        <v>120667.5585816587</v>
      </c>
      <c r="G39">
        <v>513049.73160290997</v>
      </c>
      <c r="H39">
        <f t="shared" si="2"/>
        <v>1</v>
      </c>
      <c r="I39">
        <f t="shared" si="3"/>
        <v>-392382.17302125128</v>
      </c>
      <c r="J39">
        <f t="shared" si="4"/>
        <v>1023023.3216876376</v>
      </c>
      <c r="K39">
        <f t="shared" si="5"/>
        <v>341264.67591128888</v>
      </c>
      <c r="L39">
        <f t="shared" si="6"/>
        <v>0</v>
      </c>
      <c r="M39">
        <f t="shared" si="7"/>
        <v>1</v>
      </c>
    </row>
    <row r="40" spans="1:13" x14ac:dyDescent="0.35">
      <c r="A40" s="1" t="s">
        <v>40</v>
      </c>
      <c r="B40">
        <v>275686.58495114237</v>
      </c>
      <c r="C40">
        <v>40544.407420292897</v>
      </c>
      <c r="D40">
        <f t="shared" si="0"/>
        <v>1</v>
      </c>
      <c r="E40">
        <f t="shared" si="1"/>
        <v>-235142.17753084947</v>
      </c>
      <c r="F40">
        <v>28922.55229915275</v>
      </c>
      <c r="G40">
        <v>104583.59263119831</v>
      </c>
      <c r="H40">
        <f t="shared" si="2"/>
        <v>1</v>
      </c>
      <c r="I40">
        <f t="shared" si="3"/>
        <v>-75661.040332045552</v>
      </c>
      <c r="J40">
        <f t="shared" si="4"/>
        <v>380270.17758234066</v>
      </c>
      <c r="K40">
        <f t="shared" si="5"/>
        <v>69466.959719445644</v>
      </c>
      <c r="L40">
        <f t="shared" si="6"/>
        <v>0</v>
      </c>
      <c r="M40">
        <f t="shared" si="7"/>
        <v>1</v>
      </c>
    </row>
    <row r="41" spans="1:13" x14ac:dyDescent="0.35">
      <c r="A41" s="1" t="s">
        <v>41</v>
      </c>
      <c r="B41">
        <v>335405.63061801333</v>
      </c>
      <c r="C41">
        <v>306433.79645876569</v>
      </c>
      <c r="D41">
        <f t="shared" si="0"/>
        <v>1</v>
      </c>
      <c r="E41">
        <f t="shared" si="1"/>
        <v>-28971.834159247635</v>
      </c>
      <c r="F41">
        <v>285052.44610658899</v>
      </c>
      <c r="G41">
        <v>327702.5490414598</v>
      </c>
      <c r="H41">
        <f t="shared" si="2"/>
        <v>1</v>
      </c>
      <c r="I41">
        <f t="shared" si="3"/>
        <v>-42650.102934870811</v>
      </c>
      <c r="J41">
        <f t="shared" si="4"/>
        <v>663108.17965947313</v>
      </c>
      <c r="K41">
        <f t="shared" si="5"/>
        <v>591486.24256535468</v>
      </c>
      <c r="L41">
        <f t="shared" si="6"/>
        <v>0</v>
      </c>
      <c r="M41">
        <f t="shared" si="7"/>
        <v>1</v>
      </c>
    </row>
    <row r="42" spans="1:13" x14ac:dyDescent="0.35">
      <c r="A42" s="1" t="s">
        <v>42</v>
      </c>
      <c r="B42">
        <v>150241.77839923481</v>
      </c>
      <c r="C42">
        <v>25169.293308585511</v>
      </c>
      <c r="D42">
        <f t="shared" si="0"/>
        <v>1</v>
      </c>
      <c r="E42">
        <f t="shared" si="1"/>
        <v>-125072.48509064931</v>
      </c>
      <c r="F42">
        <v>18331.165842807641</v>
      </c>
      <c r="G42">
        <v>82982.064850624913</v>
      </c>
      <c r="H42">
        <f t="shared" si="2"/>
        <v>1</v>
      </c>
      <c r="I42">
        <f t="shared" si="3"/>
        <v>-64650.899007817272</v>
      </c>
      <c r="J42">
        <f t="shared" si="4"/>
        <v>233223.84324985972</v>
      </c>
      <c r="K42">
        <f t="shared" si="5"/>
        <v>43500.459151393152</v>
      </c>
      <c r="L42">
        <f t="shared" si="6"/>
        <v>0</v>
      </c>
      <c r="M42">
        <f t="shared" si="7"/>
        <v>1</v>
      </c>
    </row>
    <row r="43" spans="1:13" x14ac:dyDescent="0.35">
      <c r="A43" s="1" t="s">
        <v>43</v>
      </c>
      <c r="B43">
        <v>367489.64650209172</v>
      </c>
      <c r="C43">
        <v>341659.76162446791</v>
      </c>
      <c r="D43">
        <f t="shared" si="0"/>
        <v>1</v>
      </c>
      <c r="E43">
        <f t="shared" si="1"/>
        <v>-25829.884877623816</v>
      </c>
      <c r="F43">
        <v>333078.67749269179</v>
      </c>
      <c r="G43">
        <v>350741.67178258538</v>
      </c>
      <c r="H43">
        <f t="shared" si="2"/>
        <v>1</v>
      </c>
      <c r="I43">
        <f t="shared" si="3"/>
        <v>-17662.994289893599</v>
      </c>
      <c r="J43">
        <f t="shared" si="4"/>
        <v>718231.31828467711</v>
      </c>
      <c r="K43">
        <f t="shared" si="5"/>
        <v>674738.43911715969</v>
      </c>
      <c r="L43">
        <f t="shared" si="6"/>
        <v>0</v>
      </c>
      <c r="M43">
        <f t="shared" si="7"/>
        <v>1</v>
      </c>
    </row>
    <row r="44" spans="1:13" x14ac:dyDescent="0.35">
      <c r="A44" s="1" t="s">
        <v>44</v>
      </c>
      <c r="B44">
        <v>255808.2358295577</v>
      </c>
      <c r="C44">
        <v>223130.8770413585</v>
      </c>
      <c r="D44">
        <f t="shared" si="0"/>
        <v>1</v>
      </c>
      <c r="E44">
        <f t="shared" si="1"/>
        <v>-32677.358788199199</v>
      </c>
      <c r="F44">
        <v>214567.82932775281</v>
      </c>
      <c r="G44">
        <v>263624.20786672382</v>
      </c>
      <c r="H44">
        <f t="shared" si="2"/>
        <v>1</v>
      </c>
      <c r="I44">
        <f t="shared" si="3"/>
        <v>-49056.37853897101</v>
      </c>
      <c r="J44">
        <f t="shared" si="4"/>
        <v>519432.44369628152</v>
      </c>
      <c r="K44">
        <f t="shared" si="5"/>
        <v>437698.70636911131</v>
      </c>
      <c r="L44">
        <f t="shared" si="6"/>
        <v>0</v>
      </c>
      <c r="M44">
        <f t="shared" si="7"/>
        <v>1</v>
      </c>
    </row>
    <row r="45" spans="1:13" x14ac:dyDescent="0.35">
      <c r="A45" s="1" t="s">
        <v>45</v>
      </c>
      <c r="B45">
        <v>1004315.035827716</v>
      </c>
      <c r="C45">
        <v>1044810.934540717</v>
      </c>
      <c r="D45">
        <f t="shared" si="0"/>
        <v>0</v>
      </c>
      <c r="E45">
        <f t="shared" si="1"/>
        <v>40495.89871300105</v>
      </c>
      <c r="F45">
        <v>989819.08793562907</v>
      </c>
      <c r="G45">
        <v>971319.44372125366</v>
      </c>
      <c r="H45">
        <f t="shared" si="2"/>
        <v>0</v>
      </c>
      <c r="I45">
        <f t="shared" si="3"/>
        <v>18499.64421437541</v>
      </c>
      <c r="J45">
        <f t="shared" si="4"/>
        <v>1975634.4795489698</v>
      </c>
      <c r="K45">
        <f t="shared" si="5"/>
        <v>2034630.0224763462</v>
      </c>
      <c r="L45">
        <f t="shared" si="6"/>
        <v>1</v>
      </c>
      <c r="M45">
        <f t="shared" si="7"/>
        <v>0</v>
      </c>
    </row>
    <row r="46" spans="1:13" x14ac:dyDescent="0.35">
      <c r="A46" s="1" t="s">
        <v>46</v>
      </c>
      <c r="B46">
        <v>384105.75746378303</v>
      </c>
      <c r="C46">
        <v>444718.99467569648</v>
      </c>
      <c r="D46">
        <f t="shared" si="0"/>
        <v>0</v>
      </c>
      <c r="E46">
        <f t="shared" si="1"/>
        <v>60613.237211913452</v>
      </c>
      <c r="F46">
        <v>498198.47990174912</v>
      </c>
      <c r="G46">
        <v>369740.21080226329</v>
      </c>
      <c r="H46">
        <f t="shared" si="2"/>
        <v>0</v>
      </c>
      <c r="I46">
        <f t="shared" si="3"/>
        <v>128458.26909948583</v>
      </c>
      <c r="J46">
        <f t="shared" si="4"/>
        <v>753845.96826604637</v>
      </c>
      <c r="K46">
        <f t="shared" si="5"/>
        <v>942917.47457744554</v>
      </c>
      <c r="L46">
        <f t="shared" si="6"/>
        <v>1</v>
      </c>
      <c r="M46">
        <f t="shared" si="7"/>
        <v>0</v>
      </c>
    </row>
    <row r="47" spans="1:13" x14ac:dyDescent="0.35">
      <c r="A47" s="1" t="s">
        <v>47</v>
      </c>
      <c r="B47">
        <v>358850.89532204292</v>
      </c>
      <c r="C47">
        <v>519376.27063027967</v>
      </c>
      <c r="D47">
        <f t="shared" si="0"/>
        <v>0</v>
      </c>
      <c r="E47">
        <f t="shared" si="1"/>
        <v>160525.37530823675</v>
      </c>
      <c r="F47">
        <v>566781.16432728677</v>
      </c>
      <c r="G47">
        <v>364064.69667776872</v>
      </c>
      <c r="H47">
        <f t="shared" si="2"/>
        <v>0</v>
      </c>
      <c r="I47">
        <f t="shared" si="3"/>
        <v>202716.46764951805</v>
      </c>
      <c r="J47">
        <f t="shared" si="4"/>
        <v>722915.59199981159</v>
      </c>
      <c r="K47">
        <f t="shared" si="5"/>
        <v>1086157.4349575664</v>
      </c>
      <c r="L47">
        <f t="shared" si="6"/>
        <v>1</v>
      </c>
      <c r="M47">
        <f t="shared" si="7"/>
        <v>0</v>
      </c>
    </row>
    <row r="48" spans="1:13" x14ac:dyDescent="0.35">
      <c r="A48" s="1" t="s">
        <v>48</v>
      </c>
      <c r="B48">
        <v>296952.88972833718</v>
      </c>
      <c r="C48">
        <v>28610.00496850866</v>
      </c>
      <c r="D48">
        <f t="shared" si="0"/>
        <v>1</v>
      </c>
      <c r="E48">
        <f t="shared" si="1"/>
        <v>-268342.88475982851</v>
      </c>
      <c r="F48">
        <v>18349.308071293381</v>
      </c>
      <c r="G48">
        <v>106028.68403316139</v>
      </c>
      <c r="H48">
        <f t="shared" si="2"/>
        <v>1</v>
      </c>
      <c r="I48">
        <f t="shared" si="3"/>
        <v>-87679.375961868005</v>
      </c>
      <c r="J48">
        <f t="shared" si="4"/>
        <v>402981.57376149856</v>
      </c>
      <c r="K48">
        <f t="shared" si="5"/>
        <v>46959.313039802044</v>
      </c>
      <c r="L48">
        <f t="shared" si="6"/>
        <v>0</v>
      </c>
      <c r="M48">
        <f t="shared" si="7"/>
        <v>1</v>
      </c>
    </row>
    <row r="49" spans="1:13" x14ac:dyDescent="0.35">
      <c r="A49" s="1" t="s">
        <v>49</v>
      </c>
      <c r="B49">
        <v>1198347.1789643751</v>
      </c>
      <c r="C49">
        <v>812633.609148202</v>
      </c>
      <c r="D49">
        <f t="shared" si="0"/>
        <v>1</v>
      </c>
      <c r="E49">
        <f t="shared" si="1"/>
        <v>-385713.56981617305</v>
      </c>
      <c r="F49">
        <v>821143.82701678574</v>
      </c>
      <c r="G49">
        <v>1137863.747418737</v>
      </c>
      <c r="H49">
        <f t="shared" si="2"/>
        <v>1</v>
      </c>
      <c r="I49">
        <f t="shared" si="3"/>
        <v>-316719.9204019513</v>
      </c>
      <c r="J49">
        <f t="shared" si="4"/>
        <v>2336210.9263831121</v>
      </c>
      <c r="K49">
        <f t="shared" si="5"/>
        <v>1633777.4361649877</v>
      </c>
      <c r="L49">
        <f t="shared" si="6"/>
        <v>0</v>
      </c>
      <c r="M49">
        <f t="shared" si="7"/>
        <v>1</v>
      </c>
    </row>
    <row r="50" spans="1:13" x14ac:dyDescent="0.35">
      <c r="A50" s="1" t="s">
        <v>50</v>
      </c>
      <c r="B50">
        <v>995404.33908077399</v>
      </c>
      <c r="C50">
        <v>616751.92244129698</v>
      </c>
      <c r="D50">
        <f t="shared" si="0"/>
        <v>1</v>
      </c>
      <c r="E50">
        <f t="shared" si="1"/>
        <v>-378652.41663947701</v>
      </c>
      <c r="F50">
        <v>630243.01476384746</v>
      </c>
      <c r="G50">
        <v>933835.00600891234</v>
      </c>
      <c r="H50">
        <f t="shared" si="2"/>
        <v>1</v>
      </c>
      <c r="I50">
        <f t="shared" si="3"/>
        <v>-303591.99124506488</v>
      </c>
      <c r="J50">
        <f t="shared" si="4"/>
        <v>1929239.3450896863</v>
      </c>
      <c r="K50">
        <f t="shared" si="5"/>
        <v>1246994.9372051444</v>
      </c>
      <c r="L50">
        <f t="shared" si="6"/>
        <v>0</v>
      </c>
      <c r="M50">
        <f t="shared" si="7"/>
        <v>1</v>
      </c>
    </row>
    <row r="51" spans="1:13" x14ac:dyDescent="0.35">
      <c r="A51" s="1" t="s">
        <v>51</v>
      </c>
      <c r="B51">
        <v>379230.56070379668</v>
      </c>
      <c r="C51">
        <v>1053760.8453699781</v>
      </c>
      <c r="D51">
        <f t="shared" si="0"/>
        <v>0</v>
      </c>
      <c r="E51">
        <f t="shared" si="1"/>
        <v>674530.28466618143</v>
      </c>
      <c r="F51">
        <v>990708.85906573536</v>
      </c>
      <c r="G51">
        <v>367760.2304767748</v>
      </c>
      <c r="H51">
        <f t="shared" si="2"/>
        <v>0</v>
      </c>
      <c r="I51">
        <f t="shared" si="3"/>
        <v>622948.62858896051</v>
      </c>
      <c r="J51">
        <f t="shared" si="4"/>
        <v>746990.79118057154</v>
      </c>
      <c r="K51">
        <f t="shared" si="5"/>
        <v>2044469.7044357136</v>
      </c>
      <c r="L51">
        <f t="shared" si="6"/>
        <v>1</v>
      </c>
      <c r="M51">
        <f t="shared" si="7"/>
        <v>0</v>
      </c>
    </row>
    <row r="52" spans="1:13" x14ac:dyDescent="0.35">
      <c r="A52" s="1" t="s">
        <v>52</v>
      </c>
      <c r="B52">
        <v>171531.0088212491</v>
      </c>
      <c r="C52">
        <v>7743.6706764644969</v>
      </c>
      <c r="D52">
        <f t="shared" si="0"/>
        <v>1</v>
      </c>
      <c r="E52">
        <f t="shared" si="1"/>
        <v>-163787.33814478459</v>
      </c>
      <c r="F52">
        <v>3219.3736252616859</v>
      </c>
      <c r="G52">
        <v>51244.627912852491</v>
      </c>
      <c r="H52">
        <f t="shared" si="2"/>
        <v>1</v>
      </c>
      <c r="I52">
        <f t="shared" si="3"/>
        <v>-48025.254287590804</v>
      </c>
      <c r="J52">
        <f t="shared" si="4"/>
        <v>222775.63673410157</v>
      </c>
      <c r="K52">
        <f t="shared" si="5"/>
        <v>10963.044301726182</v>
      </c>
      <c r="L52">
        <f t="shared" si="6"/>
        <v>0</v>
      </c>
      <c r="M52">
        <f t="shared" si="7"/>
        <v>1</v>
      </c>
    </row>
    <row r="53" spans="1:13" x14ac:dyDescent="0.35">
      <c r="A53" s="1" t="s">
        <v>53</v>
      </c>
      <c r="B53">
        <v>319874.53768921318</v>
      </c>
      <c r="C53">
        <v>305143.51552577119</v>
      </c>
      <c r="D53">
        <f t="shared" si="0"/>
        <v>1</v>
      </c>
      <c r="E53">
        <f t="shared" si="1"/>
        <v>-14731.022163441987</v>
      </c>
      <c r="F53">
        <v>333638.22983445338</v>
      </c>
      <c r="G53">
        <v>330620.13977883488</v>
      </c>
      <c r="H53">
        <f t="shared" si="2"/>
        <v>0</v>
      </c>
      <c r="I53">
        <f t="shared" si="3"/>
        <v>3018.0900556184934</v>
      </c>
      <c r="J53">
        <f t="shared" si="4"/>
        <v>650494.67746804806</v>
      </c>
      <c r="K53">
        <f t="shared" si="5"/>
        <v>638781.74536022451</v>
      </c>
      <c r="L53">
        <f t="shared" si="6"/>
        <v>0</v>
      </c>
      <c r="M53">
        <f t="shared" si="7"/>
        <v>1</v>
      </c>
    </row>
    <row r="54" spans="1:13" x14ac:dyDescent="0.35">
      <c r="A54" s="1" t="s">
        <v>54</v>
      </c>
      <c r="B54">
        <v>739649.28018940799</v>
      </c>
      <c r="C54">
        <v>323822.94298613223</v>
      </c>
      <c r="D54">
        <f t="shared" si="0"/>
        <v>1</v>
      </c>
      <c r="E54">
        <f t="shared" si="1"/>
        <v>-415826.33720327576</v>
      </c>
      <c r="F54">
        <v>290662.16358616907</v>
      </c>
      <c r="G54">
        <v>449058.84744792752</v>
      </c>
      <c r="H54">
        <f t="shared" si="2"/>
        <v>1</v>
      </c>
      <c r="I54">
        <f t="shared" si="3"/>
        <v>-158396.68386175844</v>
      </c>
      <c r="J54">
        <f t="shared" si="4"/>
        <v>1188708.1276373356</v>
      </c>
      <c r="K54">
        <f t="shared" si="5"/>
        <v>614485.10657230136</v>
      </c>
      <c r="L54">
        <f t="shared" si="6"/>
        <v>0</v>
      </c>
      <c r="M54">
        <f t="shared" si="7"/>
        <v>1</v>
      </c>
    </row>
    <row r="55" spans="1:13" x14ac:dyDescent="0.35">
      <c r="A55" s="1" t="s">
        <v>55</v>
      </c>
      <c r="B55">
        <v>235942.02118800249</v>
      </c>
      <c r="C55">
        <v>400473.81766197883</v>
      </c>
      <c r="D55">
        <f t="shared" si="0"/>
        <v>0</v>
      </c>
      <c r="E55">
        <f t="shared" si="1"/>
        <v>164531.79647397634</v>
      </c>
      <c r="F55">
        <v>439151.36198945303</v>
      </c>
      <c r="G55">
        <v>232762.7658992396</v>
      </c>
      <c r="H55">
        <f t="shared" si="2"/>
        <v>0</v>
      </c>
      <c r="I55">
        <f t="shared" si="3"/>
        <v>206388.59609021342</v>
      </c>
      <c r="J55">
        <f t="shared" si="4"/>
        <v>468704.78708724212</v>
      </c>
      <c r="K55">
        <f t="shared" si="5"/>
        <v>839625.17965143186</v>
      </c>
      <c r="L55">
        <f t="shared" si="6"/>
        <v>1</v>
      </c>
      <c r="M55">
        <f t="shared" si="7"/>
        <v>0</v>
      </c>
    </row>
    <row r="56" spans="1:13" x14ac:dyDescent="0.35">
      <c r="A56" s="1" t="s">
        <v>56</v>
      </c>
      <c r="B56">
        <v>603008.98375384393</v>
      </c>
      <c r="C56">
        <v>279272.41510382207</v>
      </c>
      <c r="D56">
        <f t="shared" si="0"/>
        <v>1</v>
      </c>
      <c r="E56">
        <f t="shared" si="1"/>
        <v>-323736.56865002186</v>
      </c>
      <c r="F56">
        <v>249806.26297649459</v>
      </c>
      <c r="G56">
        <v>232851.67660082781</v>
      </c>
      <c r="H56">
        <f t="shared" si="2"/>
        <v>0</v>
      </c>
      <c r="I56">
        <f t="shared" si="3"/>
        <v>16954.586375666782</v>
      </c>
      <c r="J56">
        <f t="shared" si="4"/>
        <v>835860.66035467177</v>
      </c>
      <c r="K56">
        <f t="shared" si="5"/>
        <v>529078.67808031663</v>
      </c>
      <c r="L56">
        <f t="shared" si="6"/>
        <v>0</v>
      </c>
      <c r="M56">
        <f t="shared" si="7"/>
        <v>1</v>
      </c>
    </row>
    <row r="57" spans="1:13" x14ac:dyDescent="0.35">
      <c r="A57" s="1" t="s">
        <v>57</v>
      </c>
      <c r="B57">
        <v>545805.06774385134</v>
      </c>
      <c r="C57">
        <v>666586.15702433977</v>
      </c>
      <c r="D57">
        <f t="shared" si="0"/>
        <v>0</v>
      </c>
      <c r="E57">
        <f t="shared" si="1"/>
        <v>120781.08928048844</v>
      </c>
      <c r="F57">
        <v>684541.28553731774</v>
      </c>
      <c r="G57">
        <v>531696.17189088231</v>
      </c>
      <c r="H57">
        <f t="shared" si="2"/>
        <v>0</v>
      </c>
      <c r="I57">
        <f t="shared" si="3"/>
        <v>152845.11364643543</v>
      </c>
      <c r="J57">
        <f t="shared" si="4"/>
        <v>1077501.2396347336</v>
      </c>
      <c r="K57">
        <f t="shared" si="5"/>
        <v>1351127.4425616576</v>
      </c>
      <c r="L57">
        <f t="shared" si="6"/>
        <v>1</v>
      </c>
      <c r="M57">
        <f t="shared" si="7"/>
        <v>0</v>
      </c>
    </row>
    <row r="58" spans="1:13" x14ac:dyDescent="0.35">
      <c r="A58" s="1" t="s">
        <v>58</v>
      </c>
      <c r="B58">
        <v>73053.078699663369</v>
      </c>
      <c r="C58">
        <v>52766.76490288986</v>
      </c>
      <c r="D58">
        <f t="shared" si="0"/>
        <v>1</v>
      </c>
      <c r="E58">
        <f t="shared" si="1"/>
        <v>-20286.313796773509</v>
      </c>
      <c r="F58">
        <v>46089.338681715773</v>
      </c>
      <c r="G58">
        <v>42481.205992663898</v>
      </c>
      <c r="H58">
        <f t="shared" si="2"/>
        <v>0</v>
      </c>
      <c r="I58">
        <f t="shared" si="3"/>
        <v>3608.1326890518758</v>
      </c>
      <c r="J58">
        <f t="shared" si="4"/>
        <v>115534.28469232726</v>
      </c>
      <c r="K58">
        <f t="shared" si="5"/>
        <v>98856.103584605633</v>
      </c>
      <c r="L58">
        <f t="shared" si="6"/>
        <v>0</v>
      </c>
      <c r="M58">
        <f t="shared" si="7"/>
        <v>1</v>
      </c>
    </row>
    <row r="59" spans="1:13" x14ac:dyDescent="0.35">
      <c r="A59" s="1" t="s">
        <v>59</v>
      </c>
      <c r="B59">
        <v>364298.65782815352</v>
      </c>
      <c r="C59">
        <v>13540.94391074375</v>
      </c>
      <c r="D59">
        <f t="shared" si="0"/>
        <v>1</v>
      </c>
      <c r="E59">
        <f t="shared" si="1"/>
        <v>-350757.71391740977</v>
      </c>
      <c r="F59">
        <v>4454.5228952279522</v>
      </c>
      <c r="G59">
        <v>114284.53401946749</v>
      </c>
      <c r="H59">
        <f t="shared" si="2"/>
        <v>1</v>
      </c>
      <c r="I59">
        <f t="shared" si="3"/>
        <v>-109830.01112423954</v>
      </c>
      <c r="J59">
        <f t="shared" si="4"/>
        <v>478583.191847621</v>
      </c>
      <c r="K59">
        <f t="shared" si="5"/>
        <v>17995.466805971701</v>
      </c>
      <c r="L59">
        <f t="shared" si="6"/>
        <v>0</v>
      </c>
      <c r="M59">
        <f t="shared" si="7"/>
        <v>1</v>
      </c>
    </row>
    <row r="60" spans="1:13" x14ac:dyDescent="0.35">
      <c r="A60" s="1" t="s">
        <v>60</v>
      </c>
      <c r="B60">
        <v>5401.6420355123919</v>
      </c>
      <c r="C60">
        <v>401.01138403568871</v>
      </c>
      <c r="D60">
        <f t="shared" si="0"/>
        <v>1</v>
      </c>
      <c r="E60">
        <f t="shared" si="1"/>
        <v>-5000.630651476703</v>
      </c>
      <c r="F60">
        <v>2737.182194389819</v>
      </c>
      <c r="G60">
        <v>59910.317864569923</v>
      </c>
      <c r="H60">
        <f t="shared" si="2"/>
        <v>1</v>
      </c>
      <c r="I60">
        <f t="shared" si="3"/>
        <v>-57173.135670180105</v>
      </c>
      <c r="J60">
        <f t="shared" si="4"/>
        <v>65311.959900082315</v>
      </c>
      <c r="K60">
        <f t="shared" si="5"/>
        <v>3138.1935784255074</v>
      </c>
      <c r="L60">
        <f t="shared" si="6"/>
        <v>0</v>
      </c>
      <c r="M60">
        <f t="shared" si="7"/>
        <v>1</v>
      </c>
    </row>
    <row r="61" spans="1:13" x14ac:dyDescent="0.35">
      <c r="A61" s="1" t="s">
        <v>61</v>
      </c>
      <c r="B61">
        <v>169317.55149285271</v>
      </c>
      <c r="C61">
        <v>169504.17892494571</v>
      </c>
      <c r="D61">
        <f t="shared" si="0"/>
        <v>0</v>
      </c>
      <c r="E61">
        <f t="shared" si="1"/>
        <v>186.62743209299515</v>
      </c>
      <c r="F61">
        <v>195603.54133853281</v>
      </c>
      <c r="G61">
        <v>188459.6050250757</v>
      </c>
      <c r="H61">
        <f t="shared" si="2"/>
        <v>0</v>
      </c>
      <c r="I61">
        <f t="shared" si="3"/>
        <v>7143.9363134571176</v>
      </c>
      <c r="J61">
        <f t="shared" si="4"/>
        <v>357777.15651792841</v>
      </c>
      <c r="K61">
        <f t="shared" si="5"/>
        <v>365107.72026347852</v>
      </c>
      <c r="L61">
        <f t="shared" si="6"/>
        <v>1</v>
      </c>
      <c r="M61">
        <f t="shared" si="7"/>
        <v>0</v>
      </c>
    </row>
    <row r="62" spans="1:13" x14ac:dyDescent="0.35">
      <c r="A62" s="1" t="s">
        <v>62</v>
      </c>
      <c r="B62">
        <v>604617.08154980419</v>
      </c>
      <c r="C62">
        <v>679099.05808229628</v>
      </c>
      <c r="D62">
        <f t="shared" si="0"/>
        <v>0</v>
      </c>
      <c r="E62">
        <f t="shared" si="1"/>
        <v>74481.976532492088</v>
      </c>
      <c r="F62">
        <v>662994.20547542977</v>
      </c>
      <c r="G62">
        <v>583398.53334241058</v>
      </c>
      <c r="H62">
        <f t="shared" si="2"/>
        <v>0</v>
      </c>
      <c r="I62">
        <f t="shared" si="3"/>
        <v>79595.672133019194</v>
      </c>
      <c r="J62">
        <f t="shared" si="4"/>
        <v>1188015.6148922148</v>
      </c>
      <c r="K62">
        <f t="shared" si="5"/>
        <v>1342093.2635577261</v>
      </c>
      <c r="L62">
        <f t="shared" si="6"/>
        <v>1</v>
      </c>
      <c r="M62">
        <f t="shared" si="7"/>
        <v>0</v>
      </c>
    </row>
    <row r="63" spans="1:13" x14ac:dyDescent="0.35">
      <c r="A63" s="1" t="s">
        <v>63</v>
      </c>
      <c r="B63">
        <v>348357.93405422778</v>
      </c>
      <c r="C63">
        <v>332204.29010742588</v>
      </c>
      <c r="D63">
        <f t="shared" si="0"/>
        <v>1</v>
      </c>
      <c r="E63">
        <f t="shared" si="1"/>
        <v>-16153.643946801894</v>
      </c>
      <c r="F63">
        <v>325824.05667761911</v>
      </c>
      <c r="G63">
        <v>311659.56201244477</v>
      </c>
      <c r="H63">
        <f t="shared" si="2"/>
        <v>0</v>
      </c>
      <c r="I63">
        <f t="shared" si="3"/>
        <v>14164.494665174338</v>
      </c>
      <c r="J63">
        <f t="shared" si="4"/>
        <v>660017.49606667249</v>
      </c>
      <c r="K63">
        <f t="shared" si="5"/>
        <v>658028.346785045</v>
      </c>
      <c r="L63">
        <f t="shared" si="6"/>
        <v>0</v>
      </c>
      <c r="M63">
        <f t="shared" si="7"/>
        <v>1</v>
      </c>
    </row>
    <row r="64" spans="1:13" x14ac:dyDescent="0.35">
      <c r="A64" s="1" t="s">
        <v>64</v>
      </c>
      <c r="B64">
        <v>630286.71048359247</v>
      </c>
      <c r="C64">
        <v>7784.0100218759762</v>
      </c>
      <c r="D64">
        <f t="shared" si="0"/>
        <v>1</v>
      </c>
      <c r="E64">
        <f t="shared" si="1"/>
        <v>-622502.70046171651</v>
      </c>
      <c r="F64">
        <v>3896.0119612278231</v>
      </c>
      <c r="G64">
        <v>136073.13578037199</v>
      </c>
      <c r="H64">
        <f t="shared" si="2"/>
        <v>1</v>
      </c>
      <c r="I64">
        <f t="shared" si="3"/>
        <v>-132177.12381914415</v>
      </c>
      <c r="J64">
        <f t="shared" si="4"/>
        <v>766359.84626396443</v>
      </c>
      <c r="K64">
        <f t="shared" si="5"/>
        <v>11680.021983103799</v>
      </c>
      <c r="L64">
        <f t="shared" si="6"/>
        <v>0</v>
      </c>
      <c r="M64">
        <f t="shared" si="7"/>
        <v>1</v>
      </c>
    </row>
    <row r="65" spans="1:13" x14ac:dyDescent="0.35">
      <c r="A65" s="1" t="s">
        <v>65</v>
      </c>
      <c r="B65">
        <v>709640.25918690755</v>
      </c>
      <c r="C65">
        <v>566155.37259575538</v>
      </c>
      <c r="D65">
        <f t="shared" si="0"/>
        <v>1</v>
      </c>
      <c r="E65">
        <f t="shared" si="1"/>
        <v>-143484.88659115217</v>
      </c>
      <c r="F65">
        <v>576874.34125632374</v>
      </c>
      <c r="G65">
        <v>735974.72823258175</v>
      </c>
      <c r="H65">
        <f t="shared" si="2"/>
        <v>1</v>
      </c>
      <c r="I65">
        <f t="shared" si="3"/>
        <v>-159100.38697625801</v>
      </c>
      <c r="J65">
        <f t="shared" si="4"/>
        <v>1445614.9874194893</v>
      </c>
      <c r="K65">
        <f t="shared" si="5"/>
        <v>1143029.7138520791</v>
      </c>
      <c r="L65">
        <f t="shared" si="6"/>
        <v>0</v>
      </c>
      <c r="M65">
        <f t="shared" si="7"/>
        <v>1</v>
      </c>
    </row>
    <row r="66" spans="1:13" x14ac:dyDescent="0.35">
      <c r="A66" s="1" t="s">
        <v>66</v>
      </c>
      <c r="B66">
        <v>431979.13727807149</v>
      </c>
      <c r="C66">
        <v>306199.9471147061</v>
      </c>
      <c r="D66">
        <f t="shared" si="0"/>
        <v>1</v>
      </c>
      <c r="E66">
        <f t="shared" si="1"/>
        <v>-125779.19016336539</v>
      </c>
      <c r="F66">
        <v>317422.11478313472</v>
      </c>
      <c r="G66">
        <v>449204.58526152291</v>
      </c>
      <c r="H66">
        <f t="shared" si="2"/>
        <v>1</v>
      </c>
      <c r="I66">
        <f t="shared" si="3"/>
        <v>-131782.47047838819</v>
      </c>
      <c r="J66">
        <f t="shared" si="4"/>
        <v>881183.7225395944</v>
      </c>
      <c r="K66">
        <f t="shared" si="5"/>
        <v>623622.06189784082</v>
      </c>
      <c r="L66">
        <f t="shared" si="6"/>
        <v>0</v>
      </c>
      <c r="M66">
        <f t="shared" si="7"/>
        <v>1</v>
      </c>
    </row>
    <row r="67" spans="1:13" x14ac:dyDescent="0.35">
      <c r="A67" s="1" t="s">
        <v>67</v>
      </c>
      <c r="B67">
        <v>718949.07347855449</v>
      </c>
      <c r="C67">
        <v>2271.6331756382901</v>
      </c>
      <c r="D67">
        <f t="shared" ref="D67:D101" si="8">IF(B67&gt;C67,1,0)</f>
        <v>1</v>
      </c>
      <c r="E67">
        <f t="shared" ref="E67:E101" si="9">C67-B67</f>
        <v>-716677.44030291622</v>
      </c>
      <c r="F67">
        <v>128.9644526096769</v>
      </c>
      <c r="G67">
        <v>16989.82041663483</v>
      </c>
      <c r="H67">
        <f t="shared" ref="H67:H101" si="10">IF(F67&lt;G67,1,0)</f>
        <v>1</v>
      </c>
      <c r="I67">
        <f t="shared" ref="I67:I101" si="11">F67-G67</f>
        <v>-16860.855964025151</v>
      </c>
      <c r="J67">
        <f t="shared" ref="J67:J101" si="12">B67+G67</f>
        <v>735938.89389518928</v>
      </c>
      <c r="K67">
        <f t="shared" ref="K67:K101" si="13">C67+F67</f>
        <v>2400.5976282479669</v>
      </c>
      <c r="L67">
        <f t="shared" ref="L67:L101" si="14">IF(K67-J67&gt;0,1,0)</f>
        <v>0</v>
      </c>
      <c r="M67">
        <f t="shared" ref="M67:M101" si="15">IF(J67-K67&gt;0,1,0)</f>
        <v>1</v>
      </c>
    </row>
    <row r="68" spans="1:13" x14ac:dyDescent="0.35">
      <c r="A68" s="1" t="s">
        <v>68</v>
      </c>
      <c r="B68">
        <v>933540.43864919024</v>
      </c>
      <c r="C68">
        <v>133063.3693658844</v>
      </c>
      <c r="D68">
        <f t="shared" si="8"/>
        <v>1</v>
      </c>
      <c r="E68">
        <f t="shared" si="9"/>
        <v>-800477.0692833059</v>
      </c>
      <c r="F68">
        <v>67272.559546010103</v>
      </c>
      <c r="G68">
        <v>287844.79838376149</v>
      </c>
      <c r="H68">
        <f t="shared" si="10"/>
        <v>1</v>
      </c>
      <c r="I68">
        <f t="shared" si="11"/>
        <v>-220572.23883775139</v>
      </c>
      <c r="J68">
        <f t="shared" si="12"/>
        <v>1221385.2370329518</v>
      </c>
      <c r="K68">
        <f t="shared" si="13"/>
        <v>200335.9289118945</v>
      </c>
      <c r="L68">
        <f t="shared" si="14"/>
        <v>0</v>
      </c>
      <c r="M68">
        <f t="shared" si="15"/>
        <v>1</v>
      </c>
    </row>
    <row r="69" spans="1:13" x14ac:dyDescent="0.35">
      <c r="A69" s="1" t="s">
        <v>69</v>
      </c>
      <c r="B69">
        <v>507227.90100828512</v>
      </c>
      <c r="C69">
        <v>30677.3289533651</v>
      </c>
      <c r="D69">
        <f t="shared" si="8"/>
        <v>1</v>
      </c>
      <c r="E69">
        <f t="shared" si="9"/>
        <v>-476550.57205492002</v>
      </c>
      <c r="F69">
        <v>21748.61137925673</v>
      </c>
      <c r="G69">
        <v>142585.16565027251</v>
      </c>
      <c r="H69">
        <f t="shared" si="10"/>
        <v>1</v>
      </c>
      <c r="I69">
        <f t="shared" si="11"/>
        <v>-120836.55427101578</v>
      </c>
      <c r="J69">
        <f t="shared" si="12"/>
        <v>649813.06665855763</v>
      </c>
      <c r="K69">
        <f t="shared" si="13"/>
        <v>52425.940332621831</v>
      </c>
      <c r="L69">
        <f t="shared" si="14"/>
        <v>0</v>
      </c>
      <c r="M69">
        <f t="shared" si="15"/>
        <v>1</v>
      </c>
    </row>
    <row r="70" spans="1:13" x14ac:dyDescent="0.35">
      <c r="A70" s="1" t="s">
        <v>70</v>
      </c>
      <c r="B70">
        <v>418223.61994902091</v>
      </c>
      <c r="C70">
        <v>1097536.147618437</v>
      </c>
      <c r="D70">
        <f t="shared" si="8"/>
        <v>0</v>
      </c>
      <c r="E70">
        <f t="shared" si="9"/>
        <v>679312.52766941604</v>
      </c>
      <c r="F70">
        <v>1148535.2751191929</v>
      </c>
      <c r="G70">
        <v>415835.69595578487</v>
      </c>
      <c r="H70">
        <f t="shared" si="10"/>
        <v>0</v>
      </c>
      <c r="I70">
        <f t="shared" si="11"/>
        <v>732699.57916340802</v>
      </c>
      <c r="J70">
        <f t="shared" si="12"/>
        <v>834059.31590480579</v>
      </c>
      <c r="K70">
        <f t="shared" si="13"/>
        <v>2246071.4227376301</v>
      </c>
      <c r="L70">
        <f t="shared" si="14"/>
        <v>1</v>
      </c>
      <c r="M70">
        <f t="shared" si="15"/>
        <v>0</v>
      </c>
    </row>
    <row r="71" spans="1:13" x14ac:dyDescent="0.35">
      <c r="A71" s="1" t="s">
        <v>71</v>
      </c>
      <c r="B71">
        <v>436018.33631213068</v>
      </c>
      <c r="C71">
        <v>14693.381997825471</v>
      </c>
      <c r="D71">
        <f t="shared" si="8"/>
        <v>1</v>
      </c>
      <c r="E71">
        <f t="shared" si="9"/>
        <v>-421324.95431430521</v>
      </c>
      <c r="F71">
        <v>7109.8361607238667</v>
      </c>
      <c r="G71">
        <v>147923.61637076299</v>
      </c>
      <c r="H71">
        <f t="shared" si="10"/>
        <v>1</v>
      </c>
      <c r="I71">
        <f t="shared" si="11"/>
        <v>-140813.78021003911</v>
      </c>
      <c r="J71">
        <f t="shared" si="12"/>
        <v>583941.95268289372</v>
      </c>
      <c r="K71">
        <f t="shared" si="13"/>
        <v>21803.218158549338</v>
      </c>
      <c r="L71">
        <f t="shared" si="14"/>
        <v>0</v>
      </c>
      <c r="M71">
        <f t="shared" si="15"/>
        <v>1</v>
      </c>
    </row>
    <row r="72" spans="1:13" x14ac:dyDescent="0.35">
      <c r="A72" s="1" t="s">
        <v>72</v>
      </c>
      <c r="B72">
        <v>424280.78715568292</v>
      </c>
      <c r="C72">
        <v>298640.79726375273</v>
      </c>
      <c r="D72">
        <f t="shared" si="8"/>
        <v>1</v>
      </c>
      <c r="E72">
        <f t="shared" si="9"/>
        <v>-125639.98989193019</v>
      </c>
      <c r="F72">
        <v>303752.74287983781</v>
      </c>
      <c r="G72">
        <v>410485.09609279089</v>
      </c>
      <c r="H72">
        <f t="shared" si="10"/>
        <v>1</v>
      </c>
      <c r="I72">
        <f t="shared" si="11"/>
        <v>-106732.35321295308</v>
      </c>
      <c r="J72">
        <f t="shared" si="12"/>
        <v>834765.88324847375</v>
      </c>
      <c r="K72">
        <f t="shared" si="13"/>
        <v>602393.54014359054</v>
      </c>
      <c r="L72">
        <f t="shared" si="14"/>
        <v>0</v>
      </c>
      <c r="M72">
        <f t="shared" si="15"/>
        <v>1</v>
      </c>
    </row>
    <row r="73" spans="1:13" x14ac:dyDescent="0.35">
      <c r="A73" s="1" t="s">
        <v>73</v>
      </c>
      <c r="B73">
        <v>360999.69951104611</v>
      </c>
      <c r="C73">
        <v>11290.049029283</v>
      </c>
      <c r="D73">
        <f t="shared" si="8"/>
        <v>1</v>
      </c>
      <c r="E73">
        <f t="shared" si="9"/>
        <v>-349709.65048176312</v>
      </c>
      <c r="F73">
        <v>6238.8140428868883</v>
      </c>
      <c r="G73">
        <v>113610.07503974139</v>
      </c>
      <c r="H73">
        <f t="shared" si="10"/>
        <v>1</v>
      </c>
      <c r="I73">
        <f t="shared" si="11"/>
        <v>-107371.2609968545</v>
      </c>
      <c r="J73">
        <f t="shared" si="12"/>
        <v>474609.77455078752</v>
      </c>
      <c r="K73">
        <f t="shared" si="13"/>
        <v>17528.863072169886</v>
      </c>
      <c r="L73">
        <f t="shared" si="14"/>
        <v>0</v>
      </c>
      <c r="M73">
        <f t="shared" si="15"/>
        <v>1</v>
      </c>
    </row>
    <row r="74" spans="1:13" x14ac:dyDescent="0.35">
      <c r="A74" s="1" t="s">
        <v>74</v>
      </c>
      <c r="B74">
        <v>261798.89598195121</v>
      </c>
      <c r="C74">
        <v>14375.749452050341</v>
      </c>
      <c r="D74">
        <f t="shared" si="8"/>
        <v>1</v>
      </c>
      <c r="E74">
        <f t="shared" si="9"/>
        <v>-247423.14652990087</v>
      </c>
      <c r="F74">
        <v>8117.2981946525961</v>
      </c>
      <c r="G74">
        <v>108773.4674091944</v>
      </c>
      <c r="H74">
        <f t="shared" si="10"/>
        <v>1</v>
      </c>
      <c r="I74">
        <f t="shared" si="11"/>
        <v>-100656.16921454181</v>
      </c>
      <c r="J74">
        <f t="shared" si="12"/>
        <v>370572.3633911456</v>
      </c>
      <c r="K74">
        <f t="shared" si="13"/>
        <v>22493.047646702937</v>
      </c>
      <c r="L74">
        <f t="shared" si="14"/>
        <v>0</v>
      </c>
      <c r="M74">
        <f t="shared" si="15"/>
        <v>1</v>
      </c>
    </row>
    <row r="75" spans="1:13" x14ac:dyDescent="0.35">
      <c r="A75" s="1" t="s">
        <v>75</v>
      </c>
      <c r="B75">
        <v>233746.23573970131</v>
      </c>
      <c r="C75">
        <v>368264.29226887022</v>
      </c>
      <c r="D75">
        <f t="shared" si="8"/>
        <v>0</v>
      </c>
      <c r="E75">
        <f t="shared" si="9"/>
        <v>134518.05652916891</v>
      </c>
      <c r="F75">
        <v>398099.53678448382</v>
      </c>
      <c r="G75">
        <v>245794.4073565281</v>
      </c>
      <c r="H75">
        <f t="shared" si="10"/>
        <v>0</v>
      </c>
      <c r="I75">
        <f t="shared" si="11"/>
        <v>152305.12942795572</v>
      </c>
      <c r="J75">
        <f t="shared" si="12"/>
        <v>479540.64309622941</v>
      </c>
      <c r="K75">
        <f t="shared" si="13"/>
        <v>766363.82905335398</v>
      </c>
      <c r="L75">
        <f t="shared" si="14"/>
        <v>1</v>
      </c>
      <c r="M75">
        <f t="shared" si="15"/>
        <v>0</v>
      </c>
    </row>
    <row r="76" spans="1:13" x14ac:dyDescent="0.35">
      <c r="A76" s="1" t="s">
        <v>76</v>
      </c>
      <c r="B76">
        <v>639628.56731484446</v>
      </c>
      <c r="C76">
        <v>580565.91707393061</v>
      </c>
      <c r="D76">
        <f t="shared" si="8"/>
        <v>1</v>
      </c>
      <c r="E76">
        <f t="shared" si="9"/>
        <v>-59062.650240913848</v>
      </c>
      <c r="F76">
        <v>568757.4104896551</v>
      </c>
      <c r="G76">
        <v>676691.00640522328</v>
      </c>
      <c r="H76">
        <f t="shared" si="10"/>
        <v>1</v>
      </c>
      <c r="I76">
        <f t="shared" si="11"/>
        <v>-107933.59591556818</v>
      </c>
      <c r="J76">
        <f t="shared" si="12"/>
        <v>1316319.5737200677</v>
      </c>
      <c r="K76">
        <f t="shared" si="13"/>
        <v>1149323.3275635857</v>
      </c>
      <c r="L76">
        <f t="shared" si="14"/>
        <v>0</v>
      </c>
      <c r="M76">
        <f t="shared" si="15"/>
        <v>1</v>
      </c>
    </row>
    <row r="77" spans="1:13" x14ac:dyDescent="0.35">
      <c r="A77" s="1" t="s">
        <v>77</v>
      </c>
      <c r="B77">
        <v>199823.7227448815</v>
      </c>
      <c r="C77">
        <v>304.95429063468703</v>
      </c>
      <c r="D77">
        <f t="shared" si="8"/>
        <v>1</v>
      </c>
      <c r="E77">
        <f t="shared" si="9"/>
        <v>-199518.76845424681</v>
      </c>
      <c r="F77">
        <v>12.30133465969811</v>
      </c>
      <c r="G77">
        <v>9079.099750876363</v>
      </c>
      <c r="H77">
        <f t="shared" si="10"/>
        <v>1</v>
      </c>
      <c r="I77">
        <f t="shared" si="11"/>
        <v>-9066.7984162166649</v>
      </c>
      <c r="J77">
        <f t="shared" si="12"/>
        <v>208902.82249575786</v>
      </c>
      <c r="K77">
        <f t="shared" si="13"/>
        <v>317.25562529438514</v>
      </c>
      <c r="L77">
        <f t="shared" si="14"/>
        <v>0</v>
      </c>
      <c r="M77">
        <f t="shared" si="15"/>
        <v>1</v>
      </c>
    </row>
    <row r="78" spans="1:13" x14ac:dyDescent="0.35">
      <c r="A78" s="1" t="s">
        <v>78</v>
      </c>
      <c r="B78">
        <v>470533.65906826733</v>
      </c>
      <c r="C78">
        <v>551920.3739128781</v>
      </c>
      <c r="D78">
        <f t="shared" si="8"/>
        <v>0</v>
      </c>
      <c r="E78">
        <f t="shared" si="9"/>
        <v>81386.714844610775</v>
      </c>
      <c r="F78">
        <v>599009.40853360575</v>
      </c>
      <c r="G78">
        <v>848106.40231036581</v>
      </c>
      <c r="H78">
        <f t="shared" si="10"/>
        <v>1</v>
      </c>
      <c r="I78">
        <f t="shared" si="11"/>
        <v>-249096.99377676006</v>
      </c>
      <c r="J78">
        <f t="shared" si="12"/>
        <v>1318640.0613786331</v>
      </c>
      <c r="K78">
        <f t="shared" si="13"/>
        <v>1150929.7824464838</v>
      </c>
      <c r="L78">
        <f t="shared" si="14"/>
        <v>0</v>
      </c>
      <c r="M78">
        <f t="shared" si="15"/>
        <v>1</v>
      </c>
    </row>
    <row r="79" spans="1:13" x14ac:dyDescent="0.35">
      <c r="A79" s="1" t="s">
        <v>79</v>
      </c>
      <c r="B79">
        <v>138223.74669288241</v>
      </c>
      <c r="C79">
        <v>234180.6913192858</v>
      </c>
      <c r="D79">
        <f t="shared" si="8"/>
        <v>0</v>
      </c>
      <c r="E79">
        <f t="shared" si="9"/>
        <v>95956.94462640339</v>
      </c>
      <c r="F79">
        <v>335804.32119765622</v>
      </c>
      <c r="G79">
        <v>120770.3773505845</v>
      </c>
      <c r="H79">
        <f t="shared" si="10"/>
        <v>0</v>
      </c>
      <c r="I79">
        <f t="shared" si="11"/>
        <v>215033.94384707173</v>
      </c>
      <c r="J79">
        <f t="shared" si="12"/>
        <v>258994.12404346693</v>
      </c>
      <c r="K79">
        <f t="shared" si="13"/>
        <v>569985.01251694199</v>
      </c>
      <c r="L79">
        <f t="shared" si="14"/>
        <v>1</v>
      </c>
      <c r="M79">
        <f t="shared" si="15"/>
        <v>0</v>
      </c>
    </row>
    <row r="80" spans="1:13" x14ac:dyDescent="0.35">
      <c r="A80" s="1" t="s">
        <v>80</v>
      </c>
      <c r="B80">
        <v>462096.63449308189</v>
      </c>
      <c r="C80">
        <v>572773.60688311118</v>
      </c>
      <c r="D80">
        <f t="shared" si="8"/>
        <v>0</v>
      </c>
      <c r="E80">
        <f t="shared" si="9"/>
        <v>110676.97239002929</v>
      </c>
      <c r="F80">
        <v>624401.18163228966</v>
      </c>
      <c r="G80">
        <v>405927.33226683649</v>
      </c>
      <c r="H80">
        <f t="shared" si="10"/>
        <v>0</v>
      </c>
      <c r="I80">
        <f t="shared" si="11"/>
        <v>218473.84936545318</v>
      </c>
      <c r="J80">
        <f t="shared" si="12"/>
        <v>868023.96675991837</v>
      </c>
      <c r="K80">
        <f t="shared" si="13"/>
        <v>1197174.7885154008</v>
      </c>
      <c r="L80">
        <f t="shared" si="14"/>
        <v>1</v>
      </c>
      <c r="M80">
        <f t="shared" si="15"/>
        <v>0</v>
      </c>
    </row>
    <row r="81" spans="1:13" x14ac:dyDescent="0.35">
      <c r="A81" s="1" t="s">
        <v>81</v>
      </c>
      <c r="B81">
        <v>633073.36672729976</v>
      </c>
      <c r="C81">
        <v>878196.3373105349</v>
      </c>
      <c r="D81">
        <f t="shared" si="8"/>
        <v>0</v>
      </c>
      <c r="E81">
        <f t="shared" si="9"/>
        <v>245122.97058323515</v>
      </c>
      <c r="F81">
        <v>882874.44890890922</v>
      </c>
      <c r="G81">
        <v>656868.38326572301</v>
      </c>
      <c r="H81">
        <f t="shared" si="10"/>
        <v>0</v>
      </c>
      <c r="I81">
        <f t="shared" si="11"/>
        <v>226006.06564318622</v>
      </c>
      <c r="J81">
        <f t="shared" si="12"/>
        <v>1289941.7499930228</v>
      </c>
      <c r="K81">
        <f t="shared" si="13"/>
        <v>1761070.7862194441</v>
      </c>
      <c r="L81">
        <f t="shared" si="14"/>
        <v>1</v>
      </c>
      <c r="M81">
        <f t="shared" si="15"/>
        <v>0</v>
      </c>
    </row>
    <row r="82" spans="1:13" x14ac:dyDescent="0.35">
      <c r="A82" s="1" t="s">
        <v>82</v>
      </c>
      <c r="B82">
        <v>451734.25363250542</v>
      </c>
      <c r="C82">
        <v>8949.9076217493675</v>
      </c>
      <c r="D82">
        <f t="shared" si="8"/>
        <v>1</v>
      </c>
      <c r="E82">
        <f t="shared" si="9"/>
        <v>-442784.34601075604</v>
      </c>
      <c r="F82">
        <v>3635.8905286639019</v>
      </c>
      <c r="G82">
        <v>141611.36278015701</v>
      </c>
      <c r="H82">
        <f t="shared" si="10"/>
        <v>1</v>
      </c>
      <c r="I82">
        <f t="shared" si="11"/>
        <v>-137975.47225149311</v>
      </c>
      <c r="J82">
        <f t="shared" si="12"/>
        <v>593345.61641266244</v>
      </c>
      <c r="K82">
        <f t="shared" si="13"/>
        <v>12585.798150413269</v>
      </c>
      <c r="L82">
        <f t="shared" si="14"/>
        <v>0</v>
      </c>
      <c r="M82">
        <f t="shared" si="15"/>
        <v>1</v>
      </c>
    </row>
    <row r="83" spans="1:13" x14ac:dyDescent="0.35">
      <c r="A83" s="1" t="s">
        <v>83</v>
      </c>
      <c r="B83">
        <v>769033.74386059295</v>
      </c>
      <c r="C83">
        <v>687184.96839202242</v>
      </c>
      <c r="D83">
        <f t="shared" si="8"/>
        <v>1</v>
      </c>
      <c r="E83">
        <f t="shared" si="9"/>
        <v>-81848.775468570529</v>
      </c>
      <c r="F83">
        <v>727774.86226858932</v>
      </c>
      <c r="G83">
        <v>732601.65821400215</v>
      </c>
      <c r="H83">
        <f t="shared" si="10"/>
        <v>1</v>
      </c>
      <c r="I83">
        <f t="shared" si="11"/>
        <v>-4826.7959454128286</v>
      </c>
      <c r="J83">
        <f t="shared" si="12"/>
        <v>1501635.402074595</v>
      </c>
      <c r="K83">
        <f t="shared" si="13"/>
        <v>1414959.8306606119</v>
      </c>
      <c r="L83">
        <f t="shared" si="14"/>
        <v>0</v>
      </c>
      <c r="M83">
        <f t="shared" si="15"/>
        <v>1</v>
      </c>
    </row>
    <row r="84" spans="1:13" x14ac:dyDescent="0.35">
      <c r="A84" s="1" t="s">
        <v>84</v>
      </c>
      <c r="B84">
        <v>398156.69092320121</v>
      </c>
      <c r="C84">
        <v>313199.31645848969</v>
      </c>
      <c r="D84">
        <f t="shared" si="8"/>
        <v>1</v>
      </c>
      <c r="E84">
        <f t="shared" si="9"/>
        <v>-84957.374464711524</v>
      </c>
      <c r="F84">
        <v>325470.19840736408</v>
      </c>
      <c r="G84">
        <v>398675.55187005992</v>
      </c>
      <c r="H84">
        <f t="shared" si="10"/>
        <v>1</v>
      </c>
      <c r="I84">
        <f t="shared" si="11"/>
        <v>-73205.353462695843</v>
      </c>
      <c r="J84">
        <f t="shared" si="12"/>
        <v>796832.24279326107</v>
      </c>
      <c r="K84">
        <f t="shared" si="13"/>
        <v>638669.51486585382</v>
      </c>
      <c r="L84">
        <f t="shared" si="14"/>
        <v>0</v>
      </c>
      <c r="M84">
        <f t="shared" si="15"/>
        <v>1</v>
      </c>
    </row>
    <row r="85" spans="1:13" x14ac:dyDescent="0.35">
      <c r="A85" s="1" t="s">
        <v>85</v>
      </c>
      <c r="B85">
        <v>317063.31692591932</v>
      </c>
      <c r="C85">
        <v>246864.38856767421</v>
      </c>
      <c r="D85">
        <f t="shared" si="8"/>
        <v>1</v>
      </c>
      <c r="E85">
        <f t="shared" si="9"/>
        <v>-70198.928358245117</v>
      </c>
      <c r="F85">
        <v>240761.27911451069</v>
      </c>
      <c r="G85">
        <v>297246.4866611386</v>
      </c>
      <c r="H85">
        <f t="shared" si="10"/>
        <v>1</v>
      </c>
      <c r="I85">
        <f t="shared" si="11"/>
        <v>-56485.207546627906</v>
      </c>
      <c r="J85">
        <f t="shared" si="12"/>
        <v>614309.80358705786</v>
      </c>
      <c r="K85">
        <f t="shared" si="13"/>
        <v>487625.6676821849</v>
      </c>
      <c r="L85">
        <f t="shared" si="14"/>
        <v>0</v>
      </c>
      <c r="M85">
        <f t="shared" si="15"/>
        <v>1</v>
      </c>
    </row>
    <row r="86" spans="1:13" x14ac:dyDescent="0.35">
      <c r="A86" s="1" t="s">
        <v>86</v>
      </c>
      <c r="B86">
        <v>1458422.648647093</v>
      </c>
      <c r="C86">
        <v>2311.331083831557</v>
      </c>
      <c r="D86">
        <f t="shared" si="8"/>
        <v>1</v>
      </c>
      <c r="E86">
        <f t="shared" si="9"/>
        <v>-1456111.3175632614</v>
      </c>
      <c r="F86">
        <v>80.676053204301638</v>
      </c>
      <c r="G86">
        <v>21589.638801652502</v>
      </c>
      <c r="H86">
        <f t="shared" si="10"/>
        <v>1</v>
      </c>
      <c r="I86">
        <f t="shared" si="11"/>
        <v>-21508.962748448201</v>
      </c>
      <c r="J86">
        <f t="shared" si="12"/>
        <v>1480012.2874487455</v>
      </c>
      <c r="K86">
        <f t="shared" si="13"/>
        <v>2392.0071370358587</v>
      </c>
      <c r="L86">
        <f t="shared" si="14"/>
        <v>0</v>
      </c>
      <c r="M86">
        <f t="shared" si="15"/>
        <v>1</v>
      </c>
    </row>
    <row r="87" spans="1:13" x14ac:dyDescent="0.35">
      <c r="A87" s="1" t="s">
        <v>87</v>
      </c>
      <c r="B87">
        <v>545983.19927142886</v>
      </c>
      <c r="C87">
        <v>587417.30515544093</v>
      </c>
      <c r="D87">
        <f t="shared" si="8"/>
        <v>0</v>
      </c>
      <c r="E87">
        <f t="shared" si="9"/>
        <v>41434.105884012068</v>
      </c>
      <c r="F87">
        <v>155358.23638119729</v>
      </c>
      <c r="G87">
        <v>163612.4332414926</v>
      </c>
      <c r="H87">
        <f t="shared" si="10"/>
        <v>1</v>
      </c>
      <c r="I87">
        <f t="shared" si="11"/>
        <v>-8254.1968602953129</v>
      </c>
      <c r="J87">
        <f t="shared" si="12"/>
        <v>709595.63251292147</v>
      </c>
      <c r="K87">
        <f t="shared" si="13"/>
        <v>742775.54153663828</v>
      </c>
      <c r="L87">
        <f t="shared" si="14"/>
        <v>1</v>
      </c>
      <c r="M87">
        <f t="shared" si="15"/>
        <v>0</v>
      </c>
    </row>
    <row r="88" spans="1:13" x14ac:dyDescent="0.35">
      <c r="A88" s="1" t="s">
        <v>88</v>
      </c>
      <c r="B88">
        <v>277187.3487142169</v>
      </c>
      <c r="C88">
        <v>32353.854522045749</v>
      </c>
      <c r="D88">
        <f t="shared" si="8"/>
        <v>1</v>
      </c>
      <c r="E88">
        <f t="shared" si="9"/>
        <v>-244833.49419217114</v>
      </c>
      <c r="F88">
        <v>20543.08523483418</v>
      </c>
      <c r="G88">
        <v>444954.98842603498</v>
      </c>
      <c r="H88">
        <f t="shared" si="10"/>
        <v>1</v>
      </c>
      <c r="I88">
        <f t="shared" si="11"/>
        <v>-424411.90319120081</v>
      </c>
      <c r="J88">
        <f t="shared" si="12"/>
        <v>722142.33714025188</v>
      </c>
      <c r="K88">
        <f t="shared" si="13"/>
        <v>52896.939756879932</v>
      </c>
      <c r="L88">
        <f t="shared" si="14"/>
        <v>0</v>
      </c>
      <c r="M88">
        <f t="shared" si="15"/>
        <v>1</v>
      </c>
    </row>
    <row r="89" spans="1:13" x14ac:dyDescent="0.35">
      <c r="A89" s="1" t="s">
        <v>89</v>
      </c>
      <c r="B89">
        <v>429340.10472923442</v>
      </c>
      <c r="C89">
        <v>1936.8528040152639</v>
      </c>
      <c r="D89">
        <f t="shared" si="8"/>
        <v>1</v>
      </c>
      <c r="E89">
        <f t="shared" si="9"/>
        <v>-427403.25192521914</v>
      </c>
      <c r="F89">
        <v>190.10259654161271</v>
      </c>
      <c r="G89">
        <v>26686.28869672701</v>
      </c>
      <c r="H89">
        <f t="shared" si="10"/>
        <v>1</v>
      </c>
      <c r="I89">
        <f t="shared" si="11"/>
        <v>-26496.186100185398</v>
      </c>
      <c r="J89">
        <f t="shared" si="12"/>
        <v>456026.39342596143</v>
      </c>
      <c r="K89">
        <f t="shared" si="13"/>
        <v>2126.9554005568766</v>
      </c>
      <c r="L89">
        <f t="shared" si="14"/>
        <v>0</v>
      </c>
      <c r="M89">
        <f t="shared" si="15"/>
        <v>1</v>
      </c>
    </row>
    <row r="90" spans="1:13" x14ac:dyDescent="0.35">
      <c r="A90" s="1" t="s">
        <v>90</v>
      </c>
      <c r="B90">
        <v>275714.10072952881</v>
      </c>
      <c r="C90">
        <v>167654.98473646579</v>
      </c>
      <c r="D90">
        <f t="shared" si="8"/>
        <v>1</v>
      </c>
      <c r="E90">
        <f t="shared" si="9"/>
        <v>-108059.11599306302</v>
      </c>
      <c r="F90">
        <v>154507.2694243048</v>
      </c>
      <c r="G90">
        <v>265137.37446542241</v>
      </c>
      <c r="H90">
        <f t="shared" si="10"/>
        <v>1</v>
      </c>
      <c r="I90">
        <f t="shared" si="11"/>
        <v>-110630.10504111761</v>
      </c>
      <c r="J90">
        <f t="shared" si="12"/>
        <v>540851.47519495129</v>
      </c>
      <c r="K90">
        <f t="shared" si="13"/>
        <v>322162.25416077056</v>
      </c>
      <c r="L90">
        <f t="shared" si="14"/>
        <v>0</v>
      </c>
      <c r="M90">
        <f t="shared" si="15"/>
        <v>1</v>
      </c>
    </row>
    <row r="91" spans="1:13" x14ac:dyDescent="0.35">
      <c r="A91" s="1" t="s">
        <v>91</v>
      </c>
      <c r="B91">
        <v>544196.47782459529</v>
      </c>
      <c r="C91">
        <v>1395.6391181601409</v>
      </c>
      <c r="D91">
        <f t="shared" si="8"/>
        <v>1</v>
      </c>
      <c r="E91">
        <f t="shared" si="9"/>
        <v>-542800.83870643517</v>
      </c>
      <c r="F91">
        <v>145.07956205903179</v>
      </c>
      <c r="G91">
        <v>26931.367831119809</v>
      </c>
      <c r="H91">
        <f t="shared" si="10"/>
        <v>1</v>
      </c>
      <c r="I91">
        <f t="shared" si="11"/>
        <v>-26786.288269060777</v>
      </c>
      <c r="J91">
        <f t="shared" si="12"/>
        <v>571127.84565571509</v>
      </c>
      <c r="K91">
        <f t="shared" si="13"/>
        <v>1540.7186802191727</v>
      </c>
      <c r="L91">
        <f t="shared" si="14"/>
        <v>0</v>
      </c>
      <c r="M91">
        <f t="shared" si="15"/>
        <v>1</v>
      </c>
    </row>
    <row r="92" spans="1:13" x14ac:dyDescent="0.35">
      <c r="A92" s="1" t="s">
        <v>92</v>
      </c>
      <c r="B92">
        <v>555122.53763605386</v>
      </c>
      <c r="C92">
        <v>671110.62855574302</v>
      </c>
      <c r="D92">
        <f t="shared" si="8"/>
        <v>0</v>
      </c>
      <c r="E92">
        <f t="shared" si="9"/>
        <v>115988.09091968916</v>
      </c>
      <c r="F92">
        <v>645300.93134911277</v>
      </c>
      <c r="G92">
        <v>538541.04032662185</v>
      </c>
      <c r="H92">
        <f t="shared" si="10"/>
        <v>0</v>
      </c>
      <c r="I92">
        <f t="shared" si="11"/>
        <v>106759.89102249092</v>
      </c>
      <c r="J92">
        <f t="shared" si="12"/>
        <v>1093663.5779626756</v>
      </c>
      <c r="K92">
        <f t="shared" si="13"/>
        <v>1316411.5599048557</v>
      </c>
      <c r="L92">
        <f t="shared" si="14"/>
        <v>1</v>
      </c>
      <c r="M92">
        <f t="shared" si="15"/>
        <v>0</v>
      </c>
    </row>
    <row r="93" spans="1:13" x14ac:dyDescent="0.35">
      <c r="A93" s="1" t="s">
        <v>93</v>
      </c>
      <c r="B93">
        <v>370560.16382153338</v>
      </c>
      <c r="C93">
        <v>2385.9539705461661</v>
      </c>
      <c r="D93">
        <f t="shared" si="8"/>
        <v>1</v>
      </c>
      <c r="E93">
        <f t="shared" si="9"/>
        <v>-368174.20985098719</v>
      </c>
      <c r="F93">
        <v>378.92293730595537</v>
      </c>
      <c r="G93">
        <v>30934.35471464588</v>
      </c>
      <c r="H93">
        <f t="shared" si="10"/>
        <v>1</v>
      </c>
      <c r="I93">
        <f t="shared" si="11"/>
        <v>-30555.431777339923</v>
      </c>
      <c r="J93">
        <f t="shared" si="12"/>
        <v>401494.51853617927</v>
      </c>
      <c r="K93">
        <f t="shared" si="13"/>
        <v>2764.8769078521213</v>
      </c>
      <c r="L93">
        <f t="shared" si="14"/>
        <v>0</v>
      </c>
      <c r="M93">
        <f t="shared" si="15"/>
        <v>1</v>
      </c>
    </row>
    <row r="94" spans="1:13" x14ac:dyDescent="0.35">
      <c r="A94" s="1" t="s">
        <v>94</v>
      </c>
      <c r="B94">
        <v>461614.64983618079</v>
      </c>
      <c r="C94">
        <v>876760.30357157462</v>
      </c>
      <c r="D94">
        <f t="shared" si="8"/>
        <v>0</v>
      </c>
      <c r="E94">
        <f t="shared" si="9"/>
        <v>415145.65373539383</v>
      </c>
      <c r="F94">
        <v>886932.08116734447</v>
      </c>
      <c r="G94">
        <v>458873.92254241119</v>
      </c>
      <c r="H94">
        <f t="shared" si="10"/>
        <v>0</v>
      </c>
      <c r="I94">
        <f t="shared" si="11"/>
        <v>428058.15862493328</v>
      </c>
      <c r="J94">
        <f t="shared" si="12"/>
        <v>920488.57237859198</v>
      </c>
      <c r="K94">
        <f t="shared" si="13"/>
        <v>1763692.3847389191</v>
      </c>
      <c r="L94">
        <f t="shared" si="14"/>
        <v>1</v>
      </c>
      <c r="M94">
        <f t="shared" si="15"/>
        <v>0</v>
      </c>
    </row>
    <row r="95" spans="1:13" x14ac:dyDescent="0.35">
      <c r="A95" s="1" t="s">
        <v>95</v>
      </c>
      <c r="B95">
        <v>504602.73896921321</v>
      </c>
      <c r="C95">
        <v>567903.55792462104</v>
      </c>
      <c r="D95">
        <f t="shared" si="8"/>
        <v>0</v>
      </c>
      <c r="E95">
        <f t="shared" si="9"/>
        <v>63300.818955407827</v>
      </c>
      <c r="F95">
        <v>544612.84658255265</v>
      </c>
      <c r="G95">
        <v>495155.36044735648</v>
      </c>
      <c r="H95">
        <f t="shared" si="10"/>
        <v>0</v>
      </c>
      <c r="I95">
        <f t="shared" si="11"/>
        <v>49457.486135196174</v>
      </c>
      <c r="J95">
        <f t="shared" si="12"/>
        <v>999758.09941656969</v>
      </c>
      <c r="K95">
        <f t="shared" si="13"/>
        <v>1112516.4045071737</v>
      </c>
      <c r="L95">
        <f t="shared" si="14"/>
        <v>1</v>
      </c>
      <c r="M95">
        <f t="shared" si="15"/>
        <v>0</v>
      </c>
    </row>
    <row r="96" spans="1:13" x14ac:dyDescent="0.35">
      <c r="A96" s="1" t="s">
        <v>96</v>
      </c>
      <c r="B96">
        <v>1134047.9138186669</v>
      </c>
      <c r="C96">
        <v>470126.50188189471</v>
      </c>
      <c r="D96">
        <f t="shared" si="8"/>
        <v>1</v>
      </c>
      <c r="E96">
        <f t="shared" si="9"/>
        <v>-663921.41193677229</v>
      </c>
      <c r="F96">
        <v>486131.99483098037</v>
      </c>
      <c r="G96">
        <v>578680.33218344999</v>
      </c>
      <c r="H96">
        <f t="shared" si="10"/>
        <v>1</v>
      </c>
      <c r="I96">
        <f t="shared" si="11"/>
        <v>-92548.337352469622</v>
      </c>
      <c r="J96">
        <f t="shared" si="12"/>
        <v>1712728.2460021169</v>
      </c>
      <c r="K96">
        <f t="shared" si="13"/>
        <v>956258.49671287509</v>
      </c>
      <c r="L96">
        <f t="shared" si="14"/>
        <v>0</v>
      </c>
      <c r="M96">
        <f t="shared" si="15"/>
        <v>1</v>
      </c>
    </row>
    <row r="97" spans="1:13" x14ac:dyDescent="0.35">
      <c r="A97" s="1" t="s">
        <v>97</v>
      </c>
      <c r="B97">
        <v>351339.124650941</v>
      </c>
      <c r="C97">
        <v>16135.655786235489</v>
      </c>
      <c r="D97">
        <f t="shared" si="8"/>
        <v>1</v>
      </c>
      <c r="E97">
        <f t="shared" si="9"/>
        <v>-335203.46886470553</v>
      </c>
      <c r="F97">
        <v>6193.4539560954536</v>
      </c>
      <c r="G97">
        <v>221613.80549916351</v>
      </c>
      <c r="H97">
        <f t="shared" si="10"/>
        <v>1</v>
      </c>
      <c r="I97">
        <f t="shared" si="11"/>
        <v>-215420.35154306807</v>
      </c>
      <c r="J97">
        <f t="shared" si="12"/>
        <v>572952.93015010445</v>
      </c>
      <c r="K97">
        <f t="shared" si="13"/>
        <v>22329.109742330944</v>
      </c>
      <c r="L97">
        <f t="shared" si="14"/>
        <v>0</v>
      </c>
      <c r="M97">
        <f t="shared" si="15"/>
        <v>1</v>
      </c>
    </row>
    <row r="98" spans="1:13" x14ac:dyDescent="0.35">
      <c r="A98" s="1" t="s">
        <v>98</v>
      </c>
      <c r="B98">
        <v>376208.70304966002</v>
      </c>
      <c r="C98">
        <v>368734.27721507772</v>
      </c>
      <c r="D98">
        <f t="shared" si="8"/>
        <v>1</v>
      </c>
      <c r="E98">
        <f t="shared" si="9"/>
        <v>-7474.4258345823037</v>
      </c>
      <c r="F98">
        <v>375652.29303035798</v>
      </c>
      <c r="G98">
        <v>377192.29913403571</v>
      </c>
      <c r="H98">
        <f t="shared" si="10"/>
        <v>1</v>
      </c>
      <c r="I98">
        <f t="shared" si="11"/>
        <v>-1540.0061036777333</v>
      </c>
      <c r="J98">
        <f t="shared" si="12"/>
        <v>753401.00218369579</v>
      </c>
      <c r="K98">
        <f t="shared" si="13"/>
        <v>744386.57024543569</v>
      </c>
      <c r="L98">
        <f t="shared" si="14"/>
        <v>0</v>
      </c>
      <c r="M98">
        <f t="shared" si="15"/>
        <v>1</v>
      </c>
    </row>
    <row r="99" spans="1:13" x14ac:dyDescent="0.35">
      <c r="A99" s="1" t="s">
        <v>99</v>
      </c>
      <c r="B99">
        <v>399290.0454338381</v>
      </c>
      <c r="C99">
        <v>142600.23720309429</v>
      </c>
      <c r="D99">
        <f t="shared" si="8"/>
        <v>1</v>
      </c>
      <c r="E99">
        <f t="shared" si="9"/>
        <v>-256689.8082307438</v>
      </c>
      <c r="F99">
        <v>82231.651485678085</v>
      </c>
      <c r="G99">
        <v>180472.5271634387</v>
      </c>
      <c r="H99">
        <f t="shared" si="10"/>
        <v>1</v>
      </c>
      <c r="I99">
        <f t="shared" si="11"/>
        <v>-98240.875677760618</v>
      </c>
      <c r="J99">
        <f t="shared" si="12"/>
        <v>579762.57259727677</v>
      </c>
      <c r="K99">
        <f t="shared" si="13"/>
        <v>224831.88868877239</v>
      </c>
      <c r="L99">
        <f t="shared" si="14"/>
        <v>0</v>
      </c>
      <c r="M99">
        <f t="shared" si="15"/>
        <v>1</v>
      </c>
    </row>
    <row r="100" spans="1:13" x14ac:dyDescent="0.35">
      <c r="A100" s="1" t="s">
        <v>100</v>
      </c>
      <c r="B100">
        <v>93274.510268128739</v>
      </c>
      <c r="C100">
        <v>559978.06108408677</v>
      </c>
      <c r="D100">
        <f t="shared" si="8"/>
        <v>0</v>
      </c>
      <c r="E100">
        <f t="shared" si="9"/>
        <v>466703.55081595806</v>
      </c>
      <c r="F100">
        <v>738267.64163577661</v>
      </c>
      <c r="G100">
        <v>115161.66986815351</v>
      </c>
      <c r="H100">
        <f t="shared" si="10"/>
        <v>0</v>
      </c>
      <c r="I100">
        <f t="shared" si="11"/>
        <v>623105.97176762309</v>
      </c>
      <c r="J100">
        <f t="shared" si="12"/>
        <v>208436.18013628223</v>
      </c>
      <c r="K100">
        <f t="shared" si="13"/>
        <v>1298245.7027198635</v>
      </c>
      <c r="L100">
        <f t="shared" si="14"/>
        <v>1</v>
      </c>
      <c r="M100">
        <f t="shared" si="15"/>
        <v>0</v>
      </c>
    </row>
    <row r="101" spans="1:13" x14ac:dyDescent="0.35">
      <c r="A101" s="1" t="s">
        <v>101</v>
      </c>
      <c r="B101">
        <v>788922.48572874395</v>
      </c>
      <c r="C101">
        <v>565114.6585518592</v>
      </c>
      <c r="D101">
        <f t="shared" si="8"/>
        <v>1</v>
      </c>
      <c r="E101">
        <f t="shared" si="9"/>
        <v>-223807.82717688475</v>
      </c>
      <c r="F101">
        <v>539477.69913939165</v>
      </c>
      <c r="G101">
        <v>730395.47016898484</v>
      </c>
      <c r="H101">
        <f t="shared" si="10"/>
        <v>1</v>
      </c>
      <c r="I101">
        <f t="shared" si="11"/>
        <v>-190917.77102959319</v>
      </c>
      <c r="J101">
        <f t="shared" si="12"/>
        <v>1519317.9558977289</v>
      </c>
      <c r="K101">
        <f t="shared" si="13"/>
        <v>1104592.3576912507</v>
      </c>
      <c r="L101">
        <f t="shared" si="14"/>
        <v>0</v>
      </c>
      <c r="M101">
        <f t="shared" si="1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2025-05-14T15:28:19Z</dcterms:created>
  <dcterms:modified xsi:type="dcterms:W3CDTF">2025-05-14T16:16:09Z</dcterms:modified>
</cp:coreProperties>
</file>